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3.xml" ContentType="application/vnd.openxmlformats-officedocument.spreadsheetml.comments+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Programme" sheetId="2" state="visible" r:id="rId2"/>
    <sheet name="People" sheetId="3" state="visible" r:id="rId3"/>
    <sheet name="Focus areas" sheetId="4" state="visible" r:id="rId4"/>
    <sheet name="Initiatives" sheetId="5" state="visible" r:id="rId5"/>
    <sheet name="Metrics" sheetId="6" state="visible" r:id="rId6"/>
    <sheet name="Entries" sheetId="7" state="visible" r:id="rId7"/>
    <sheet name="Library" sheetId="8" state="visible" r:id="rId8"/>
    <sheet name="Campaigns" sheetId="9" state="visible" r:id="rId9"/>
    <sheet name="Campaign results" sheetId="10" state="visible" r:id="rId10"/>
    <sheet name="Evidence" sheetId="11" state="visible" r:id="rId11"/>
    <sheet name="Spend" sheetId="12" state="visible" r:id="rId12"/>
    <sheet name="Responsibilities" sheetId="13" state="visible" r:id="rId13"/>
    <sheet name="Risks" sheetId="14" state="visible" r:id="rId14"/>
    <sheet name="Decisions" sheetId="15" state="visible" r:id="rId15"/>
    <sheet name="Snapshots" sheetId="16" state="visible" r:id="rId16"/>
    <sheet name="Summary" sheetId="17" state="visible" r:id="rId17"/>
  </sheets>
  <definedNames>
    <definedName name="_xlnm._FilterDatabase" localSheetId="2" hidden="1">'People'!$A$1:$D$6</definedName>
    <definedName name="_xlnm._FilterDatabase" localSheetId="3" hidden="1">'Focus areas'!$A$1:$D$6</definedName>
    <definedName name="_xlnm._FilterDatabase" localSheetId="4" hidden="1">'Initiatives'!$A$1:$N$9</definedName>
    <definedName name="_xlnm._FilterDatabase" localSheetId="5" hidden="1">'Metrics'!$A$1:$Q$41</definedName>
    <definedName name="_xlnm._FilterDatabase" localSheetId="6" hidden="1">'Entries'!$A$1:$G$210</definedName>
    <definedName name="_xlnm._FilterDatabase" localSheetId="7" hidden="1">'Library'!$A$1:$H$5</definedName>
    <definedName name="_xlnm._FilterDatabase" localSheetId="8" hidden="1">'Campaigns'!$A$1:$I$7</definedName>
    <definedName name="_xlnm._FilterDatabase" localSheetId="9" hidden="1">'Campaign results'!$A$1:$E$37</definedName>
    <definedName name="_xlnm._FilterDatabase" localSheetId="10" hidden="1">'Evidence'!$A$1:$J$18</definedName>
    <definedName name="_xlnm._FilterDatabase" localSheetId="11" hidden="1">'Spend'!$A$1:$H$89</definedName>
    <definedName name="_xlnm._FilterDatabase" localSheetId="12" hidden="1">'Responsibilities'!$A$1:$L$23</definedName>
    <definedName name="_xlnm._FilterDatabase" localSheetId="13" hidden="1">'Risks'!$A$1:$L$14</definedName>
    <definedName name="_xlnm._FilterDatabase" localSheetId="14" hidden="1">'Decisions'!$A$1:$G$9</definedName>
    <definedName name="_xlnm._FilterDatabase" localSheetId="15" hidden="1">'Snapshots'!$A$1:$E$2</definedName>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0.0%"/>
  </numFmts>
  <fonts count="7">
    <font>
      <name val="Calibri"/>
      <family val="2"/>
      <color theme="1"/>
      <sz val="11"/>
      <scheme val="minor"/>
    </font>
    <font>
      <name val="Arial"/>
      <b val="1"/>
      <color rgb="00FFFFFF"/>
      <sz val="10"/>
    </font>
    <font>
      <name val="Arial"/>
      <b val="1"/>
      <sz val="10"/>
    </font>
    <font>
      <name val="Arial"/>
      <sz val="10"/>
    </font>
    <font>
      <name val="Arial"/>
      <i val="1"/>
      <color rgb="006B6A65"/>
      <sz val="9"/>
    </font>
    <font>
      <name val="Arial"/>
      <color rgb="00000000"/>
      <sz val="10"/>
    </font>
    <font>
      <name val="Arial"/>
      <b val="1"/>
      <sz val="16"/>
    </font>
  </fonts>
  <fills count="6">
    <fill>
      <patternFill/>
    </fill>
    <fill>
      <patternFill patternType="gray125"/>
    </fill>
    <fill>
      <patternFill patternType="solid">
        <fgColor rgb="002F3A45"/>
      </patternFill>
    </fill>
    <fill>
      <patternFill patternType="solid">
        <fgColor rgb="006B6A65"/>
      </patternFill>
    </fill>
    <fill>
      <patternFill patternType="solid">
        <fgColor rgb="00E7E6E1"/>
      </patternFill>
    </fill>
    <fill>
      <patternFill patternType="solid">
        <fgColor rgb="00FFF4CC"/>
      </patternFill>
    </fill>
  </fills>
  <borders count="2">
    <border>
      <left/>
      <right/>
      <top/>
      <bottom/>
      <diagonal/>
    </border>
    <border>
      <top style="thin">
        <color rgb="00D5D3CC"/>
      </top>
    </border>
  </borders>
  <cellStyleXfs count="1">
    <xf numFmtId="0" fontId="0" fillId="0" borderId="0"/>
  </cellStyleXfs>
  <cellXfs count="24">
    <xf numFmtId="0" fontId="0" fillId="0" borderId="0" pivotButton="0" quotePrefix="0" xfId="0"/>
    <xf numFmtId="0" fontId="6"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3" fillId="5" borderId="0" applyAlignment="1" pivotButton="0" quotePrefix="0" xfId="0">
      <alignment vertical="top" wrapText="1"/>
    </xf>
    <xf numFmtId="0" fontId="1" fillId="2" borderId="0" applyAlignment="1" pivotButton="0" quotePrefix="0" xfId="0">
      <alignment vertical="center" wrapText="1"/>
    </xf>
    <xf numFmtId="0" fontId="2" fillId="0" borderId="0" pivotButton="0" quotePrefix="0" xfId="0"/>
    <xf numFmtId="0" fontId="4" fillId="0" borderId="0" pivotButton="0" quotePrefix="0" xfId="0"/>
    <xf numFmtId="3" fontId="3" fillId="0" borderId="0" applyAlignment="1" pivotButton="0" quotePrefix="0" xfId="0">
      <alignment vertical="top" wrapText="1"/>
    </xf>
    <xf numFmtId="164" fontId="3" fillId="0" borderId="0" applyAlignment="1" pivotButton="0" quotePrefix="0" xfId="0">
      <alignment vertical="top" wrapText="1"/>
    </xf>
    <xf numFmtId="0" fontId="3" fillId="0" borderId="0" applyAlignment="1" pivotButton="0" quotePrefix="0" xfId="0">
      <alignment vertical="top"/>
    </xf>
    <xf numFmtId="3" fontId="3" fillId="0" borderId="0" applyAlignment="1" pivotButton="0" quotePrefix="0" xfId="0">
      <alignment vertical="top"/>
    </xf>
    <xf numFmtId="164" fontId="3" fillId="0" borderId="0" applyAlignment="1" pivotButton="0" quotePrefix="0" xfId="0">
      <alignment vertical="top"/>
    </xf>
    <xf numFmtId="0" fontId="1" fillId="3" borderId="0" applyAlignment="1" pivotButton="0" quotePrefix="0" xfId="0">
      <alignment vertical="center" wrapText="1"/>
    </xf>
    <xf numFmtId="49" fontId="5" fillId="4" borderId="0" pivotButton="0" quotePrefix="0" xfId="0"/>
    <xf numFmtId="1" fontId="5" fillId="4" borderId="0" pivotButton="0" quotePrefix="0" xfId="0"/>
    <xf numFmtId="1" fontId="3" fillId="4" borderId="0" pivotButton="0" quotePrefix="0" xfId="0"/>
    <xf numFmtId="3" fontId="3" fillId="4" borderId="0" pivotButton="0" quotePrefix="0" xfId="0"/>
    <xf numFmtId="165" fontId="3" fillId="4" borderId="0" pivotButton="0" quotePrefix="0" xfId="0"/>
    <xf numFmtId="166" fontId="3" fillId="4" borderId="0" pivotButton="0" quotePrefix="0" xfId="0"/>
    <xf numFmtId="3" fontId="2" fillId="0" borderId="1" pivotButton="0" quotePrefix="0" xfId="0"/>
    <xf numFmtId="166" fontId="2" fillId="0" borderId="0" pivotButton="0" quotePrefix="0" xfId="0"/>
    <xf numFmtId="1" fontId="2" fillId="0" borderId="1"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omments/comment1.xml><?xml version="1.0" encoding="utf-8"?>
<comments xmlns="http://schemas.openxmlformats.org/spreadsheetml/2006/main">
  <authors>
    <author>Impact Tracker</author>
  </authors>
  <commentList>
    <comment ref="G1" authorId="0" shapeId="0">
      <text>
        <t>point = the latest value counts (e.g. a % or a score).
cumulative = each entry is added up (e.g. people trained per month).</t>
      </text>
    </comment>
    <comment ref="O1" authorId="0" shapeId="0">
      <text>
        <t>Optional. The exact name of another metric in the same initiative. If this metric falls behind, that one is flagged 'at risk'.</t>
      </text>
    </comment>
    <comment ref="P1" authorId="0" shapeId="0">
      <text>
        <t>Optional. The exact name of a row on the Library sheet this metric was copied from.</t>
      </text>
    </comment>
  </commentList>
</comments>
</file>

<file path=xl/comments/comment2.xml><?xml version="1.0" encoding="utf-8"?>
<comments xmlns="http://schemas.openxmlformats.org/spreadsheetml/2006/main">
  <authors>
    <author>Impact Tracker</author>
  </authors>
  <commentList>
    <comment ref="B1" authorId="0" shapeId="0">
      <text>
        <t>Must match a metric name on the Metrics sheet for the same initiative.</t>
      </text>
    </comment>
  </commentList>
</comments>
</file>

<file path=xl/comments/comment3.xml><?xml version="1.0" encoding="utf-8"?>
<comments xmlns="http://schemas.openxmlformats.org/spreadsheetml/2006/main">
  <authors>
    <author>Impact Tracker</author>
  </authors>
  <commentList>
    <comment ref="B1" authorId="0" shapeId="0">
      <text>
        <t>Optional. Leave blank for evidence about the whole initiative.</t>
      </text>
    </comment>
    <comment ref="J1" authorId="0" shapeId="0">
      <text>
        <t>ai = AI-generated. It stays hidden from stakeholder views until someone approves it in the app.</t>
      </text>
    </comment>
  </commentList>
</comments>
</file>

<file path=xl/comments/comment4.xml><?xml version="1.0" encoding="utf-8"?>
<comments xmlns="http://schemas.openxmlformats.org/spreadsheetml/2006/main">
  <authors>
    <author>Impact Tracker</author>
  </authors>
  <commentList>
    <comment ref="E1" authorId="0" shapeId="0">
      <text>
        <t>actual = paid. committed = ordered or contracted, not yet paid.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1.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2.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6" customWidth="1" min="1" max="1"/>
    <col width="100" customWidth="1" min="2" max="2"/>
  </cols>
  <sheetData>
    <row r="1">
      <c r="A1" s="1" t="inlineStr">
        <is>
          <t>Impact Tracker data template</t>
        </is>
      </c>
    </row>
    <row r="3" ht="30" customHeight="1">
      <c r="A3" s="2" t="inlineStr">
        <is>
          <t>What this is</t>
        </is>
      </c>
      <c r="B3" s="3" t="inlineStr">
        <is>
          <t>Everything the Impact Tracker demo shows, in one workbook. It is pre-filled with a sample Global News Programme (5 focus areas, 8 initiatives). Replace the rows with your own programme, then load the file into the demo.</t>
        </is>
      </c>
    </row>
    <row r="4" ht="120" customHeight="1">
      <c r="A4" s="2" t="inlineStr">
        <is>
          <t>How to use it</t>
        </is>
      </c>
      <c r="B4" s="3" t="inlineStr">
        <is>
          <t>1. Start with Programme, People, Focus areas and Initiatives.
2. Add Metrics for each initiative, then their Entries (one row per metric per date).
3. Optionally add Campaigns, Campaign results, Evidence, Spend, Responsibilities, Risks, Decisions and Snapshots.
4. In the demo, choose "Load your data" in the dark bar at the top and pick this file. The demo checks every row and tells you about anything it can't use before replacing the data.</t>
        </is>
      </c>
    </row>
    <row r="5" ht="30" customHeight="1">
      <c r="A5" s="2" t="inlineStr">
        <is>
          <t>Legend</t>
        </is>
      </c>
      <c r="B5" s="4" t="inlineStr">
        <is>
          <t>White cells: yours to edit.   Grey columns (dark grey header): calculated, don't type in them.   Dropdowns: pick a value from the list.</t>
        </is>
      </c>
    </row>
    <row r="6" ht="135" customHeight="1">
      <c r="A6" s="2" t="inlineStr">
        <is>
          <t>Rules</t>
        </is>
      </c>
      <c r="B6" s="3" t="inlineStr">
        <is>
          <t>• Keep the column headers exactly as they are. You can add, delete and reorder rows.
• Names link sheets together, so they must match exactly: an Initiative's "Focus area", a Metric's "Initiative", an Entry's "Metric", an Owner's name on People.
• Dates as real dates or text in YYYY-MM-DD.
• Money as plain numbers, in the programme currency.
• Delete a sample row to remove it; leave a sheet with just its header row to have none of that kind.</t>
        </is>
      </c>
    </row>
    <row r="7" ht="30" customHeight="1">
      <c r="A7" s="2" t="inlineStr">
        <is>
          <t>Sheets</t>
        </is>
      </c>
      <c r="B7" s="3" t="inlineStr">
        <is>
          <t>Programme · People · Focus areas · Initiatives · Metrics · Entries · Library · Campaigns · Campaign results · Evidence · Spend · Responsibilities · Risks · Decisions · Snapshots · Summary (calculated)</t>
        </is>
      </c>
    </row>
    <row r="8" ht="60" customHeight="1">
      <c r="A8" s="2" t="inlineStr">
        <is>
          <t>Choices</t>
        </is>
      </c>
      <c r="B8" s="3" t="inlineStr">
        <is>
          <t>Level: input, activity, output, outcome, impact.  How entries combine: point (latest value counts) or cumulative (entries are added up).  Audience: external, internal, both.  Confidence: measured, self-reported, estimated, modelled.  Role: admin (Global lead), programme, partner, viewer. Partners need a team: comms, gapp, marketing.</t>
        </is>
      </c>
    </row>
    <row r="9" ht="45" customHeight="1">
      <c r="A9" s="2" t="inlineStr">
        <is>
          <t>Example row</t>
        </is>
      </c>
      <c r="B9" s="3" t="inlineStr">
        <is>
          <t>Metrics sheet: Newsroom Digital Skills Training | Journalists trained | Unique journalists completing at least one full training session | output | people | increase | cumulative | 0 | 300 | (blank) | monthly | Attendance registers | Yes | external | Trainees applying new skills | People trained</t>
        </is>
      </c>
    </row>
    <row r="10" ht="18" customHeight="1">
      <c r="A10" s="2" t="inlineStr">
        <is>
          <t>Source</t>
        </is>
      </c>
      <c r="B10" s="3" t="inlineStr">
        <is>
          <t>Sample figures are illustrative, made up for the demo. They are not real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4" customWidth="1" min="1" max="1"/>
    <col width="70" customWidth="1" min="2" max="2"/>
    <col width="60" customWidth="1" min="3" max="3"/>
  </cols>
  <sheetData>
    <row r="1" ht="30" customHeight="1">
      <c r="A1" s="5" t="inlineStr">
        <is>
          <t>Field</t>
        </is>
      </c>
      <c r="B1" s="5" t="inlineStr">
        <is>
          <t>Value</t>
        </is>
      </c>
      <c r="C1" s="5" t="inlineStr">
        <is>
          <t>Notes</t>
        </is>
      </c>
    </row>
    <row r="2">
      <c r="A2" s="6" t="inlineStr">
        <is>
          <t>Name</t>
        </is>
      </c>
      <c r="B2" s="3" t="inlineStr">
        <is>
          <t>Global News Programme</t>
        </is>
      </c>
      <c r="C2" s="7" t="inlineStr"/>
    </row>
    <row r="3">
      <c r="A3" s="6" t="inlineStr">
        <is>
          <t>Mission</t>
        </is>
      </c>
      <c r="B3" s="3" t="inlineStr">
        <is>
          <t>Help news organisations and the people who work with them build the skills, audiences and support that keep reliable journalism going.</t>
        </is>
      </c>
      <c r="C3" s="7" t="inlineStr">
        <is>
          <t>One or two sentences</t>
        </is>
      </c>
    </row>
    <row r="4">
      <c r="A4" s="6" t="inlineStr">
        <is>
          <t>Description</t>
        </is>
      </c>
      <c r="B4" s="3" t="inlineStr">
        <is>
          <t>A global programme run with Comms, Government Affairs &amp; Public Policy and Marketing, across five focus areas: trainings, product and technology partnerships, research, events, and policy and public affairs.</t>
        </is>
      </c>
      <c r="C4" s="7" t="inlineStr"/>
    </row>
    <row r="5">
      <c r="A5" s="6" t="inlineStr">
        <is>
          <t>Currency</t>
        </is>
      </c>
      <c r="B5" s="3" t="inlineStr">
        <is>
          <t>USD</t>
        </is>
      </c>
      <c r="C5" s="7" t="inlineStr">
        <is>
          <t>USD, GBP or EUR</t>
        </is>
      </c>
    </row>
    <row r="6">
      <c r="A6" s="6" t="inlineStr">
        <is>
          <t>Budget</t>
        </is>
      </c>
      <c r="B6" s="8" t="n">
        <v>500000</v>
      </c>
      <c r="C6" s="7" t="inlineStr">
        <is>
          <t>Total programme budget. Focus area budgets should add up to this.</t>
        </is>
      </c>
    </row>
    <row r="7">
      <c r="A7" s="6" t="inlineStr">
        <is>
          <t>Start date</t>
        </is>
      </c>
      <c r="B7" s="9" t="n">
        <v>46082</v>
      </c>
      <c r="C7" s="7" t="inlineStr">
        <is>
          <t>YYYY-MM-DD</t>
        </is>
      </c>
    </row>
    <row r="8">
      <c r="A8" s="6" t="inlineStr">
        <is>
          <t>End date</t>
        </is>
      </c>
      <c r="B8" s="9" t="n">
        <v>46446</v>
      </c>
      <c r="C8" s="7" t="inlineStr">
        <is>
          <t>YYYY-MM-DD</t>
        </is>
      </c>
    </row>
    <row r="9">
      <c r="A9" s="6" t="inlineStr">
        <is>
          <t>Demo date</t>
        </is>
      </c>
      <c r="B9" s="9" t="n">
        <v>46288</v>
      </c>
      <c r="C9" s="7" t="inlineStr">
        <is>
          <t>The 'today' the demo uses, so example data reads as current. Change it to your presentation date if your data is current.</t>
        </is>
      </c>
    </row>
  </sheetData>
  <dataValidations count="1">
    <dataValidation sqref="B5" showDropDown="0" showInputMessage="0" showErrorMessage="0" allowBlank="0" type="list">
      <formula1>"USD,GBP,EUR"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2" customWidth="1" min="3" max="3"/>
    <col width="14" customWidth="1" min="4" max="4"/>
  </cols>
  <sheetData>
    <row r="1" ht="30" customHeight="1">
      <c r="A1" s="5" t="inlineStr">
        <is>
          <t>Name</t>
        </is>
      </c>
      <c r="B1" s="5" t="inlineStr">
        <is>
          <t>Email</t>
        </is>
      </c>
      <c r="C1" s="5" t="inlineStr">
        <is>
          <t>Role</t>
        </is>
      </c>
      <c r="D1" s="5" t="inlineStr">
        <is>
          <t>Partner team</t>
        </is>
      </c>
    </row>
    <row r="2">
      <c r="A2" s="10" t="inlineStr">
        <is>
          <t>Nadia Hassan</t>
        </is>
      </c>
      <c r="B2" s="10" t="inlineStr">
        <is>
          <t>lead@example.org</t>
        </is>
      </c>
      <c r="C2" s="10" t="inlineStr">
        <is>
          <t>admin</t>
        </is>
      </c>
      <c r="D2" s="10" t="n"/>
    </row>
    <row r="3">
      <c r="A3" s="10" t="inlineStr">
        <is>
          <t>Tom Reeves</t>
        </is>
      </c>
      <c r="B3" s="10" t="inlineStr">
        <is>
          <t>programme@example.org</t>
        </is>
      </c>
      <c r="C3" s="10" t="inlineStr">
        <is>
          <t>programme</t>
        </is>
      </c>
      <c r="D3" s="10" t="n"/>
    </row>
    <row r="4">
      <c r="A4" s="10" t="inlineStr">
        <is>
          <t>Priya Shah</t>
        </is>
      </c>
      <c r="B4" s="10" t="inlineStr">
        <is>
          <t>comms@example.org</t>
        </is>
      </c>
      <c r="C4" s="10" t="inlineStr">
        <is>
          <t>partner</t>
        </is>
      </c>
      <c r="D4" s="10" t="inlineStr">
        <is>
          <t>comms</t>
        </is>
      </c>
    </row>
    <row r="5">
      <c r="A5" s="10" t="inlineStr">
        <is>
          <t>Daniel Mensah</t>
        </is>
      </c>
      <c r="B5" s="10" t="inlineStr">
        <is>
          <t>gapp@example.org</t>
        </is>
      </c>
      <c r="C5" s="10" t="inlineStr">
        <is>
          <t>partner</t>
        </is>
      </c>
      <c r="D5" s="10" t="inlineStr">
        <is>
          <t>gapp</t>
        </is>
      </c>
    </row>
    <row r="6">
      <c r="A6" s="10" t="inlineStr">
        <is>
          <t>Sofia Lindqvist</t>
        </is>
      </c>
      <c r="B6" s="10" t="inlineStr">
        <is>
          <t>marketing@example.org</t>
        </is>
      </c>
      <c r="C6" s="10" t="inlineStr">
        <is>
          <t>partner</t>
        </is>
      </c>
      <c r="D6" s="10" t="inlineStr">
        <is>
          <t>marketing</t>
        </is>
      </c>
    </row>
  </sheetData>
  <autoFilter ref="A1:D6"/>
  <dataValidations count="2">
    <dataValidation sqref="C2:C2000" showDropDown="0" showInputMessage="0" showErrorMessage="1" allowBlank="1" errorTitle="Choose from the list" error="Pick a value from the dropdown." type="list">
      <formula1>"admin,programme,partner,viewer"</formula1>
    </dataValidation>
    <dataValidation sqref="D2:D2000" showDropDown="0" showInputMessage="0" showErrorMessage="1" allowBlank="1" errorTitle="Choose from the list" error="Pick a value from the dropdown." type="list">
      <formula1>"comms,gapp,marketing"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20" customWidth="1" min="3" max="3"/>
    <col width="12" customWidth="1" min="4" max="4"/>
  </cols>
  <sheetData>
    <row r="1" ht="30" customHeight="1">
      <c r="A1" s="5" t="inlineStr">
        <is>
          <t>Name</t>
        </is>
      </c>
      <c r="B1" s="5" t="inlineStr">
        <is>
          <t>Description</t>
        </is>
      </c>
      <c r="C1" s="5" t="inlineStr">
        <is>
          <t>Owner</t>
        </is>
      </c>
      <c r="D1" s="5" t="inlineStr">
        <is>
          <t>Budget</t>
        </is>
      </c>
    </row>
    <row r="2">
      <c r="A2" s="10" t="inlineStr">
        <is>
          <t>Trainings</t>
        </is>
      </c>
      <c r="B2" s="3" t="inlineStr">
        <is>
          <t>Skills training for journalists and newsrooms (external), and news-literacy training that turns colleagues into programme champions (internal).</t>
        </is>
      </c>
      <c r="C2" s="10" t="inlineStr">
        <is>
          <t>Nadia Hassan</t>
        </is>
      </c>
      <c r="D2" s="11" t="n">
        <v>230000</v>
      </c>
    </row>
    <row r="3">
      <c r="A3" s="10" t="inlineStr">
        <is>
          <t>Product &amp; Technology Partnerships</t>
        </is>
      </c>
      <c r="B3" s="3" t="inlineStr">
        <is>
          <t>Free and discounted newsroom tools from product partners, and a feedback loop so product teams build what newsrooms need.</t>
        </is>
      </c>
      <c r="C3" s="10" t="inlineStr">
        <is>
          <t>Tom Reeves</t>
        </is>
      </c>
      <c r="D3" s="11" t="n">
        <v>110000</v>
      </c>
    </row>
    <row r="4">
      <c r="A4" s="10" t="inlineStr">
        <is>
          <t>Research &amp; Insights</t>
        </is>
      </c>
      <c r="B4" s="3" t="inlineStr">
        <is>
          <t>Evidence on local news audiences and business models, for newsrooms, policymakers and internal teams.</t>
        </is>
      </c>
      <c r="C4" s="10" t="inlineStr">
        <is>
          <t>Tom Reeves</t>
        </is>
      </c>
      <c r="D4" s="11" t="n">
        <v>60000</v>
      </c>
    </row>
    <row r="5">
      <c r="A5" s="10" t="inlineStr">
        <is>
          <t>Events &amp; Convenings</t>
        </is>
      </c>
      <c r="B5" s="3" t="inlineStr">
        <is>
          <t>The flagship summit for newsroom leaders, and internal events that keep colleagues close to the programme.</t>
        </is>
      </c>
      <c r="C5" s="10" t="inlineStr">
        <is>
          <t>Nadia Hassan</t>
        </is>
      </c>
      <c r="D5" s="11" t="n">
        <v>70000</v>
      </c>
    </row>
    <row r="6">
      <c r="A6" s="10" t="inlineStr">
        <is>
          <t>Policy &amp; Public Affairs</t>
        </is>
      </c>
      <c r="B6" s="3" t="inlineStr">
        <is>
          <t>Working with Government Affairs &amp; Public Policy so programme evidence informs policy on local news.</t>
        </is>
      </c>
      <c r="C6" s="10" t="inlineStr">
        <is>
          <t>Daniel Mensah</t>
        </is>
      </c>
      <c r="D6" s="11" t="n">
        <v>30000</v>
      </c>
    </row>
  </sheetData>
  <autoFilter ref="A1:D6"/>
  <dataValidations count="1">
    <dataValidation sqref="C2:C2000" showDropDown="0" showInputMessage="0" showErrorMessage="1" allowBlank="1" errorTitle="Choose from the list" error="Pick a value from the dropdown." type="list">
      <formula1>People!$A$2:$A$300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9"/>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50" customWidth="1" min="3" max="3"/>
    <col width="18" customWidth="1" min="4" max="4"/>
    <col width="12" customWidth="1" min="5" max="5"/>
    <col width="12" customWidth="1" min="6" max="6"/>
    <col width="11" customWidth="1" min="7" max="7"/>
    <col width="18" customWidth="1" min="8" max="8"/>
    <col width="11" customWidth="1" min="9" max="9"/>
    <col width="36" customWidth="1" min="10" max="10"/>
    <col width="36" customWidth="1" min="11" max="11"/>
    <col width="36" customWidth="1" min="12" max="12"/>
    <col width="36" customWidth="1" min="13" max="13"/>
    <col width="36" customWidth="1" min="14" max="14"/>
  </cols>
  <sheetData>
    <row r="1" ht="30" customHeight="1">
      <c r="A1" s="5" t="inlineStr">
        <is>
          <t>Name</t>
        </is>
      </c>
      <c r="B1" s="5" t="inlineStr">
        <is>
          <t>Focus area</t>
        </is>
      </c>
      <c r="C1" s="5" t="inlineStr">
        <is>
          <t>Description</t>
        </is>
      </c>
      <c r="D1" s="5" t="inlineStr">
        <is>
          <t>Owner</t>
        </is>
      </c>
      <c r="E1" s="5" t="inlineStr">
        <is>
          <t>Start date</t>
        </is>
      </c>
      <c r="F1" s="5" t="inlineStr">
        <is>
          <t>End date</t>
        </is>
      </c>
      <c r="G1" s="5" t="inlineStr">
        <is>
          <t>Budget</t>
        </is>
      </c>
      <c r="H1" s="5" t="inlineStr">
        <is>
          <t>Region</t>
        </is>
      </c>
      <c r="I1" s="5" t="inlineStr">
        <is>
          <t>Status</t>
        </is>
      </c>
      <c r="J1" s="5" t="inlineStr">
        <is>
          <t>ToC: inputs</t>
        </is>
      </c>
      <c r="K1" s="5" t="inlineStr">
        <is>
          <t>ToC: activities</t>
        </is>
      </c>
      <c r="L1" s="5" t="inlineStr">
        <is>
          <t>ToC: outputs</t>
        </is>
      </c>
      <c r="M1" s="5" t="inlineStr">
        <is>
          <t>ToC: outcomes</t>
        </is>
      </c>
      <c r="N1" s="5" t="inlineStr">
        <is>
          <t>ToC: impact</t>
        </is>
      </c>
    </row>
    <row r="2">
      <c r="A2" s="10" t="inlineStr">
        <is>
          <t>Newsroom Digital Skills Training</t>
        </is>
      </c>
      <c r="B2" s="10" t="inlineStr">
        <is>
          <t>Trainings</t>
        </is>
      </c>
      <c r="C2" s="3" t="inlineStr">
        <is>
          <t>Training cohorts, a shared digital toolkit and small grants that help independent local newsrooms build digital audiences and sustainable revenue.</t>
        </is>
      </c>
      <c r="D2" s="10" t="inlineStr">
        <is>
          <t>Nadia Hassan</t>
        </is>
      </c>
      <c r="E2" s="12" t="n">
        <v>46082</v>
      </c>
      <c r="F2" s="12" t="n">
        <v>46446</v>
      </c>
      <c r="G2" s="11" t="n">
        <v>190000</v>
      </c>
      <c r="H2" s="10" t="inlineStr">
        <is>
          <t>UK &amp; Ireland</t>
        </is>
      </c>
      <c r="I2" s="10" t="inlineStr">
        <is>
          <t>active</t>
        </is>
      </c>
      <c r="J2" s="3" t="inlineStr">
        <is>
          <t>$190k budget including a grant fund; 3 programme staff; trainer network of 12 working journalists; shared analytics and CMS toolkit.</t>
        </is>
      </c>
      <c r="K2" s="3" t="inlineStr">
        <is>
          <t>Monthly training cohorts on audience development and revenue; toolkit onboarding and support; small grants for pilots; peer-learning roadshow.</t>
        </is>
      </c>
      <c r="L2" s="3" t="inlineStr">
        <is>
          <t>300 journalists trained; 40 newsrooms onboarded to the toolkit; 30 newsrooms using audience analytics every week.</t>
        </is>
      </c>
      <c r="M2" s="3" t="inlineStr">
        <is>
          <t>Newsrooms grow digital audiences, add new revenue streams, and staff apply new skills; local readers trust their local news more.</t>
        </is>
      </c>
      <c r="N2" s="3" t="inlineStr">
        <is>
          <t>More local news organisations are financially sustainable, so communities keep access to reliable local reporting.</t>
        </is>
      </c>
    </row>
    <row r="3">
      <c r="A3" s="10" t="inlineStr">
        <is>
          <t>Newsroom Champions (internal)</t>
        </is>
      </c>
      <c r="B3" s="10" t="inlineStr">
        <is>
          <t>Trainings</t>
        </is>
      </c>
      <c r="C3" s="3" t="inlineStr">
        <is>
          <t>News-literacy sessions for colleagues, and a champions network who explain the programme and use its stories in their own teams.</t>
        </is>
      </c>
      <c r="D3" s="10" t="inlineStr">
        <is>
          <t>Tom Reeves</t>
        </is>
      </c>
      <c r="E3" s="12" t="n">
        <v>46082</v>
      </c>
      <c r="F3" s="12" t="n">
        <v>46446</v>
      </c>
      <c r="G3" s="11" t="n">
        <v>40000</v>
      </c>
      <c r="H3" s="10" t="inlineStr">
        <is>
          <t>Global</t>
        </is>
      </c>
      <c r="I3" s="10" t="inlineStr">
        <is>
          <t>active</t>
        </is>
      </c>
      <c r="J3" s="3" t="inlineStr">
        <is>
          <t>$40k; 1 programme lead; content from the external training; support from Comms and Marketing.</t>
        </is>
      </c>
      <c r="K3" s="3" t="inlineStr">
        <is>
          <t>Monthly news-literacy sessions; a champions certification; an internal case-study pack.</t>
        </is>
      </c>
      <c r="L3" s="3" t="inlineStr">
        <is>
          <t>400 colleagues trained; 40 certified champions.</t>
        </is>
      </c>
      <c r="M3" s="3" t="inlineStr">
        <is>
          <t>Colleagues can explain the programme confidently and use its stories with partners and policymakers.</t>
        </is>
      </c>
      <c r="N3" s="3" t="inlineStr">
        <is>
          <t>The organisation speaks about news and journalism with one informed voice.</t>
        </is>
      </c>
    </row>
    <row r="4">
      <c r="A4" s="10" t="inlineStr">
        <is>
          <t>Newsroom Tools Partnership</t>
        </is>
      </c>
      <c r="B4" s="10" t="inlineStr">
        <is>
          <t>Product &amp; Technology Partnerships</t>
        </is>
      </c>
      <c r="C4" s="3" t="inlineStr">
        <is>
          <t>Onboards newsrooms to partner publishing, transcription and analytics tools, with training and support.</t>
        </is>
      </c>
      <c r="D4" s="10" t="inlineStr">
        <is>
          <t>Tom Reeves</t>
        </is>
      </c>
      <c r="E4" s="12" t="n">
        <v>46082</v>
      </c>
      <c r="F4" s="12" t="n">
        <v>46446</v>
      </c>
      <c r="G4" s="11" t="n">
        <v>80000</v>
      </c>
      <c r="H4" s="10" t="inlineStr">
        <is>
          <t>Global</t>
        </is>
      </c>
      <c r="I4" s="10" t="inlineStr">
        <is>
          <t>active</t>
        </is>
      </c>
      <c r="J4" s="3" t="inlineStr">
        <is>
          <t>$80k; partner tools at no cost to newsrooms; 1 partnerships manager; support desk.</t>
        </is>
      </c>
      <c r="K4" s="3" t="inlineStr">
        <is>
          <t>Newsroom onboarding; monthly tool clinics; integration support.</t>
        </is>
      </c>
      <c r="L4" s="3" t="inlineStr">
        <is>
          <t>60 partner newsrooms live; 6,000 stories published with the tools.</t>
        </is>
      </c>
      <c r="M4" s="3" t="inlineStr">
        <is>
          <t>Journalists save time on routine tasks and use the tools every week.</t>
        </is>
      </c>
      <c r="N4" s="3" t="inlineStr">
        <is>
          <t>Newsrooms spend more time on original reporting.</t>
        </is>
      </c>
    </row>
    <row r="5">
      <c r="A5" s="10" t="inlineStr">
        <is>
          <t>Product Feedback Loop (internal)</t>
        </is>
      </c>
      <c r="B5" s="10" t="inlineStr">
        <is>
          <t>Product &amp; Technology Partnerships</t>
        </is>
      </c>
      <c r="C5" s="3" t="inlineStr">
        <is>
          <t>Brings newsroom feedback to internal product teams, so tools are built around real newsroom needs.</t>
        </is>
      </c>
      <c r="D5" s="10" t="inlineStr">
        <is>
          <t>Tom Reeves</t>
        </is>
      </c>
      <c r="E5" s="12" t="n">
        <v>46082</v>
      </c>
      <c r="F5" s="12" t="n">
        <v>46446</v>
      </c>
      <c r="G5" s="11" t="n">
        <v>30000</v>
      </c>
      <c r="H5" s="10" t="inlineStr">
        <is>
          <t>Global</t>
        </is>
      </c>
      <c r="I5" s="10" t="inlineStr">
        <is>
          <t>active</t>
        </is>
      </c>
      <c r="J5" s="3" t="inlineStr">
        <is>
          <t>$30k; programme staff time; access to product teams.</t>
        </is>
      </c>
      <c r="K5" s="3" t="inlineStr">
        <is>
          <t>Monthly feedback sessions; a shared insights log; newsroom visits for product staff.</t>
        </is>
      </c>
      <c r="L5" s="3" t="inlineStr">
        <is>
          <t>24 feedback sessions held.</t>
        </is>
      </c>
      <c r="M5" s="3" t="inlineStr">
        <is>
          <t>Product teams use newsroom insights in planning and ship requested features.</t>
        </is>
      </c>
      <c r="N5" s="3" t="inlineStr">
        <is>
          <t>The organisation's products serve news organisations better.</t>
        </is>
      </c>
    </row>
    <row r="6">
      <c r="A6" s="10" t="inlineStr">
        <is>
          <t>Local News Audience Study</t>
        </is>
      </c>
      <c r="B6" s="10" t="inlineStr">
        <is>
          <t>Research &amp; Insights</t>
        </is>
      </c>
      <c r="C6" s="3" t="inlineStr">
        <is>
          <t>A large survey of local news audiences, published as short briefs and a full report.</t>
        </is>
      </c>
      <c r="D6" s="10" t="inlineStr">
        <is>
          <t>Tom Reeves</t>
        </is>
      </c>
      <c r="E6" s="12" t="n">
        <v>46082</v>
      </c>
      <c r="F6" s="12" t="n">
        <v>46446</v>
      </c>
      <c r="G6" s="11" t="n">
        <v>60000</v>
      </c>
      <c r="H6" s="10" t="inlineStr">
        <is>
          <t>Global</t>
        </is>
      </c>
      <c r="I6" s="10" t="inlineStr">
        <is>
          <t>active</t>
        </is>
      </c>
      <c r="J6" s="3" t="inlineStr">
        <is>
          <t>$60k; survey panel; 1 researcher; academic adviser.</t>
        </is>
      </c>
      <c r="K6" s="3" t="inlineStr">
        <is>
          <t>Fieldwork in 6 countries; analysis; briefs and report.</t>
        </is>
      </c>
      <c r="L6" s="3" t="inlineStr">
        <is>
          <t>5,000 survey responses; 6 research briefs.</t>
        </is>
      </c>
      <c r="M6" s="3" t="inlineStr">
        <is>
          <t>Findings are cited by policymakers and press, and used by internal teams.</t>
        </is>
      </c>
      <c r="N6" s="3" t="inlineStr">
        <is>
          <t>Decisions about local news are based on evidence.</t>
        </is>
      </c>
    </row>
    <row r="7">
      <c r="A7" s="10" t="inlineStr">
        <is>
          <t>Global News Summit 2026</t>
        </is>
      </c>
      <c r="B7" s="10" t="inlineStr">
        <is>
          <t>Events &amp; Convenings</t>
        </is>
      </c>
      <c r="C7" s="3" t="inlineStr">
        <is>
          <t>Two-day summit in November for newsroom leaders, partners and policymakers.</t>
        </is>
      </c>
      <c r="D7" s="10" t="inlineStr">
        <is>
          <t>Nadia Hassan</t>
        </is>
      </c>
      <c r="E7" s="12" t="n">
        <v>46082</v>
      </c>
      <c r="F7" s="12" t="n">
        <v>46446</v>
      </c>
      <c r="G7" s="11" t="n">
        <v>55000</v>
      </c>
      <c r="H7" s="10" t="inlineStr">
        <is>
          <t>Global (in person and online)</t>
        </is>
      </c>
      <c r="I7" s="10" t="inlineStr">
        <is>
          <t>active</t>
        </is>
      </c>
      <c r="J7" s="3" t="inlineStr">
        <is>
          <t>$55k; venue partner; sponsors; programme and Marketing staff.</t>
        </is>
      </c>
      <c r="K7" s="3" t="inlineStr">
        <is>
          <t>Programme design; speaker and sponsor outreach; registration campaign.</t>
        </is>
      </c>
      <c r="L7" s="3" t="inlineStr">
        <is>
          <t>800 registrations; 40 speakers.</t>
        </is>
      </c>
      <c r="M7" s="3" t="inlineStr">
        <is>
          <t>Attendees rate it highly and start partnerships afterwards.</t>
        </is>
      </c>
      <c r="N7" s="3" t="inlineStr">
        <is>
          <t>A stronger network of organisations supporting local news.</t>
        </is>
      </c>
    </row>
    <row r="8">
      <c r="A8" s="10" t="inlineStr">
        <is>
          <t>Lunch &amp; Learn series (internal)</t>
        </is>
      </c>
      <c r="B8" s="10" t="inlineStr">
        <is>
          <t>Events &amp; Convenings</t>
        </is>
      </c>
      <c r="C8" s="3" t="inlineStr">
        <is>
          <t>Monthly internal sessions where newsroom partners and programme staff share stories and results with colleagues.</t>
        </is>
      </c>
      <c r="D8" s="10" t="inlineStr">
        <is>
          <t>Priya Shah</t>
        </is>
      </c>
      <c r="E8" s="12" t="n">
        <v>46082</v>
      </c>
      <c r="F8" s="12" t="n">
        <v>46446</v>
      </c>
      <c r="G8" s="11" t="n">
        <v>15000</v>
      </c>
      <c r="H8" s="10" t="inlineStr">
        <is>
          <t>Global</t>
        </is>
      </c>
      <c r="I8" s="10" t="inlineStr">
        <is>
          <t>active</t>
        </is>
      </c>
      <c r="J8" s="3" t="inlineStr">
        <is>
          <t>$15k; Comms support; guest speakers from partner newsrooms.</t>
        </is>
      </c>
      <c r="K8" s="3" t="inlineStr">
        <is>
          <t>Monthly lunch-and-learn sessions, in person and online.</t>
        </is>
      </c>
      <c r="L8" s="3" t="inlineStr">
        <is>
          <t>20 sessions; 1,200 colleague attendances.</t>
        </is>
      </c>
      <c r="M8" s="3" t="inlineStr">
        <is>
          <t>Colleagues understand the programme and share its stories.</t>
        </is>
      </c>
      <c r="N8" s="3" t="inlineStr">
        <is>
          <t>Stronger internal support for the programme.</t>
        </is>
      </c>
    </row>
    <row r="9">
      <c r="A9" s="10" t="inlineStr">
        <is>
          <t>Policy Engagement on Local News</t>
        </is>
      </c>
      <c r="B9" s="10" t="inlineStr">
        <is>
          <t>Policy &amp; Public Affairs</t>
        </is>
      </c>
      <c r="C9" s="3" t="inlineStr">
        <is>
          <t>Briefings, consultation responses and roundtables that bring programme evidence to policymakers.</t>
        </is>
      </c>
      <c r="D9" s="10" t="inlineStr">
        <is>
          <t>Daniel Mensah</t>
        </is>
      </c>
      <c r="E9" s="12" t="n">
        <v>46082</v>
      </c>
      <c r="F9" s="12" t="n">
        <v>46446</v>
      </c>
      <c r="G9" s="11" t="n">
        <v>30000</v>
      </c>
      <c r="H9" s="10" t="inlineStr">
        <is>
          <t>UK, EU and US</t>
        </is>
      </c>
      <c r="I9" s="10" t="inlineStr">
        <is>
          <t>active</t>
        </is>
      </c>
      <c r="J9" s="3" t="inlineStr">
        <is>
          <t>$30k; GAPP team time; programme data and case studies.</t>
        </is>
      </c>
      <c r="K9" s="3" t="inlineStr">
        <is>
          <t>Policymaker briefings; written submissions; roundtables with newsrooms.</t>
        </is>
      </c>
      <c r="L9" s="3" t="inlineStr">
        <is>
          <t>24 briefings; 6 submissions; 60 policymakers engaged.</t>
        </is>
      </c>
      <c r="M9" s="3" t="inlineStr">
        <is>
          <t>Programme evidence is cited in policy and officials ask for more.</t>
        </is>
      </c>
      <c r="N9" s="3" t="inlineStr">
        <is>
          <t>Policy that supports a sustainable local news sector.</t>
        </is>
      </c>
    </row>
  </sheetData>
  <autoFilter ref="A1:N9"/>
  <dataValidations count="3">
    <dataValidation sqref="B2:B2000" showDropDown="0" showInputMessage="0" showErrorMessage="1" allowBlank="1" errorTitle="Choose from the list" error="Pick a value from the dropdown." type="list">
      <formula1>'Focus areas'!$A$2:$A$200</formula1>
    </dataValidation>
    <dataValidation sqref="D2:D2000" showDropDown="0" showInputMessage="0" showErrorMessage="1" allowBlank="1" errorTitle="Choose from the list" error="Pick a value from the dropdown." type="list">
      <formula1>People!$A$2:$A$300</formula1>
    </dataValidation>
    <dataValidation sqref="I2:I2000" showDropDown="0" showInputMessage="0" showErrorMessage="1" allowBlank="1" errorTitle="Choose from the list" error="Pick a value from the dropdown." type="list">
      <formula1>"planning,active,paused,completed"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500"/>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44" customWidth="1" min="3" max="3"/>
    <col width="10" customWidth="1" min="4" max="4"/>
    <col width="14" customWidth="1" min="5" max="5"/>
    <col width="13" customWidth="1" min="6" max="6"/>
    <col width="16" customWidth="1" min="7" max="7"/>
    <col width="10" customWidth="1" min="8" max="8"/>
    <col width="10" customWidth="1" min="9" max="9"/>
    <col width="12" customWidth="1" min="10" max="10"/>
    <col width="11" customWidth="1" min="11" max="11"/>
    <col width="22" customWidth="1" min="12" max="12"/>
    <col width="10" customWidth="1" min="13" max="13"/>
    <col width="11" customWidth="1" min="14" max="14"/>
    <col width="34" customWidth="1" min="15" max="15"/>
    <col width="24" customWidth="1" min="16" max="16"/>
    <col width="30" customWidth="1" min="17" max="17"/>
  </cols>
  <sheetData>
    <row r="1" ht="30" customHeight="1">
      <c r="A1" s="5" t="inlineStr">
        <is>
          <t>Initiative</t>
        </is>
      </c>
      <c r="B1" s="5" t="inlineStr">
        <is>
          <t>Metric</t>
        </is>
      </c>
      <c r="C1" s="5" t="inlineStr">
        <is>
          <t>Definition</t>
        </is>
      </c>
      <c r="D1" s="5" t="inlineStr">
        <is>
          <t>Level</t>
        </is>
      </c>
      <c r="E1" s="5" t="inlineStr">
        <is>
          <t>Unit</t>
        </is>
      </c>
      <c r="F1" s="5" t="inlineStr">
        <is>
          <t>Good direction</t>
        </is>
      </c>
      <c r="G1" s="5" t="inlineStr">
        <is>
          <t>How entries combine</t>
        </is>
      </c>
      <c r="H1" s="5" t="inlineStr">
        <is>
          <t>Baseline</t>
        </is>
      </c>
      <c r="I1" s="5" t="inlineStr">
        <is>
          <t>Target</t>
        </is>
      </c>
      <c r="J1" s="5" t="inlineStr">
        <is>
          <t>Target date</t>
        </is>
      </c>
      <c r="K1" s="5" t="inlineStr">
        <is>
          <t>Frequency</t>
        </is>
      </c>
      <c r="L1" s="5" t="inlineStr">
        <is>
          <t>Data source</t>
        </is>
      </c>
      <c r="M1" s="5" t="inlineStr">
        <is>
          <t>Key metric</t>
        </is>
      </c>
      <c r="N1" s="5" t="inlineStr">
        <is>
          <t>Audience</t>
        </is>
      </c>
      <c r="O1" s="5" t="inlineStr">
        <is>
          <t>Leading indicator for</t>
        </is>
      </c>
      <c r="P1" s="5" t="inlineStr">
        <is>
          <t>Library definition</t>
        </is>
      </c>
      <c r="Q1" s="13" t="inlineStr">
        <is>
          <t>Focus area (calculated)</t>
        </is>
      </c>
    </row>
    <row r="2">
      <c r="A2" s="10" t="inlineStr">
        <is>
          <t>Newsroom Digital Skills Training</t>
        </is>
      </c>
      <c r="B2" s="3" t="inlineStr">
        <is>
          <t>Training grants disbursed</t>
        </is>
      </c>
      <c r="C2" s="3" t="inlineStr">
        <is>
          <t>Grant payments released to participating newsrooms to cover training time and pilots.</t>
        </is>
      </c>
      <c r="D2" s="10" t="inlineStr">
        <is>
          <t>input</t>
        </is>
      </c>
      <c r="E2" s="10" t="inlineStr">
        <is>
          <t>$</t>
        </is>
      </c>
      <c r="F2" s="10" t="inlineStr">
        <is>
          <t>increase</t>
        </is>
      </c>
      <c r="G2" s="10" t="inlineStr">
        <is>
          <t>cumulative</t>
        </is>
      </c>
      <c r="H2" s="10" t="n">
        <v>0</v>
      </c>
      <c r="I2" s="10" t="n">
        <v>120000</v>
      </c>
      <c r="J2" s="12" t="n"/>
      <c r="K2" s="10" t="inlineStr">
        <is>
          <t>monthly</t>
        </is>
      </c>
      <c r="L2" s="10" t="inlineStr">
        <is>
          <t>Finance system</t>
        </is>
      </c>
      <c r="M2" s="10" t="inlineStr">
        <is>
          <t>No</t>
        </is>
      </c>
      <c r="N2" s="10" t="inlineStr">
        <is>
          <t>external</t>
        </is>
      </c>
      <c r="O2" s="10" t="n"/>
      <c r="P2" s="10" t="n"/>
      <c r="Q2" s="14">
        <f>IFERROR(INDEX(Initiatives!$B$2:$B$500,MATCH(A2,Initiatives!$A$2:$A$500,0)),"")</f>
        <v/>
      </c>
    </row>
    <row r="3">
      <c r="A3" s="10" t="inlineStr">
        <is>
          <t>Newsroom Digital Skills Training</t>
        </is>
      </c>
      <c r="B3" s="3" t="inlineStr">
        <is>
          <t>Training sessions delivered</t>
        </is>
      </c>
      <c r="C3" s="3" t="inlineStr">
        <is>
          <t>Live training sessions (online or in person) of at least 90 minutes.</t>
        </is>
      </c>
      <c r="D3" s="10" t="inlineStr">
        <is>
          <t>activity</t>
        </is>
      </c>
      <c r="E3" s="10" t="inlineStr">
        <is>
          <t>sessions</t>
        </is>
      </c>
      <c r="F3" s="10" t="inlineStr">
        <is>
          <t>increase</t>
        </is>
      </c>
      <c r="G3" s="10" t="inlineStr">
        <is>
          <t>cumulative</t>
        </is>
      </c>
      <c r="H3" s="10" t="n">
        <v>0</v>
      </c>
      <c r="I3" s="10" t="n">
        <v>48</v>
      </c>
      <c r="J3" s="12" t="n"/>
      <c r="K3" s="10" t="inlineStr">
        <is>
          <t>monthly</t>
        </is>
      </c>
      <c r="L3" s="10" t="inlineStr">
        <is>
          <t>Training calendar</t>
        </is>
      </c>
      <c r="M3" s="10" t="inlineStr">
        <is>
          <t>No</t>
        </is>
      </c>
      <c r="N3" s="10" t="inlineStr">
        <is>
          <t>external</t>
        </is>
      </c>
      <c r="O3" s="10" t="n"/>
      <c r="P3" s="10" t="n"/>
      <c r="Q3" s="14">
        <f>IFERROR(INDEX(Initiatives!$B$2:$B$500,MATCH(A3,Initiatives!$A$2:$A$500,0)),"")</f>
        <v/>
      </c>
    </row>
    <row r="4">
      <c r="A4" s="10" t="inlineStr">
        <is>
          <t>Newsroom Digital Skills Training</t>
        </is>
      </c>
      <c r="B4" s="3" t="inlineStr">
        <is>
          <t>Newsrooms onboarded to digital toolkit</t>
        </is>
      </c>
      <c r="C4" s="3" t="inlineStr">
        <is>
          <t>Newsrooms with an active toolkit account and a completed onboarding call.</t>
        </is>
      </c>
      <c r="D4" s="10" t="inlineStr">
        <is>
          <t>activity</t>
        </is>
      </c>
      <c r="E4" s="10" t="inlineStr">
        <is>
          <t>newsrooms</t>
        </is>
      </c>
      <c r="F4" s="10" t="inlineStr">
        <is>
          <t>increase</t>
        </is>
      </c>
      <c r="G4" s="10" t="inlineStr">
        <is>
          <t>cumulative</t>
        </is>
      </c>
      <c r="H4" s="10" t="n">
        <v>0</v>
      </c>
      <c r="I4" s="10" t="n">
        <v>40</v>
      </c>
      <c r="J4" s="12" t="n"/>
      <c r="K4" s="10" t="inlineStr">
        <is>
          <t>monthly</t>
        </is>
      </c>
      <c r="L4" s="10" t="inlineStr">
        <is>
          <t>Toolkit CRM</t>
        </is>
      </c>
      <c r="M4" s="10" t="inlineStr">
        <is>
          <t>No</t>
        </is>
      </c>
      <c r="N4" s="10" t="inlineStr">
        <is>
          <t>external</t>
        </is>
      </c>
      <c r="O4" s="10" t="n"/>
      <c r="P4" s="10" t="inlineStr">
        <is>
          <t>Organisations onboarded</t>
        </is>
      </c>
      <c r="Q4" s="14">
        <f>IFERROR(INDEX(Initiatives!$B$2:$B$500,MATCH(A4,Initiatives!$A$2:$A$500,0)),"")</f>
        <v/>
      </c>
    </row>
    <row r="5">
      <c r="A5" s="10" t="inlineStr">
        <is>
          <t>Newsroom Digital Skills Training</t>
        </is>
      </c>
      <c r="B5" s="3" t="inlineStr">
        <is>
          <t>Journalists trained</t>
        </is>
      </c>
      <c r="C5" s="3" t="inlineStr">
        <is>
          <t>Unique journalists completing at least one full training session.</t>
        </is>
      </c>
      <c r="D5" s="10" t="inlineStr">
        <is>
          <t>output</t>
        </is>
      </c>
      <c r="E5" s="10" t="inlineStr">
        <is>
          <t>people</t>
        </is>
      </c>
      <c r="F5" s="10" t="inlineStr">
        <is>
          <t>increase</t>
        </is>
      </c>
      <c r="G5" s="10" t="inlineStr">
        <is>
          <t>cumulative</t>
        </is>
      </c>
      <c r="H5" s="10" t="n">
        <v>0</v>
      </c>
      <c r="I5" s="10" t="n">
        <v>300</v>
      </c>
      <c r="J5" s="12" t="n"/>
      <c r="K5" s="10" t="inlineStr">
        <is>
          <t>monthly</t>
        </is>
      </c>
      <c r="L5" s="10" t="inlineStr">
        <is>
          <t>Attendance registers</t>
        </is>
      </c>
      <c r="M5" s="10" t="inlineStr">
        <is>
          <t>Yes</t>
        </is>
      </c>
      <c r="N5" s="10" t="inlineStr">
        <is>
          <t>external</t>
        </is>
      </c>
      <c r="O5" s="10" t="inlineStr">
        <is>
          <t>Trainees applying new skills</t>
        </is>
      </c>
      <c r="P5" s="10" t="inlineStr">
        <is>
          <t>People trained</t>
        </is>
      </c>
      <c r="Q5" s="14">
        <f>IFERROR(INDEX(Initiatives!$B$2:$B$500,MATCH(A5,Initiatives!$A$2:$A$500,0)),"")</f>
        <v/>
      </c>
    </row>
    <row r="6">
      <c r="A6" s="10" t="inlineStr">
        <is>
          <t>Newsroom Digital Skills Training</t>
        </is>
      </c>
      <c r="B6" s="3" t="inlineStr">
        <is>
          <t>Newsrooms using analytics weekly</t>
        </is>
      </c>
      <c r="C6" s="3" t="inlineStr">
        <is>
          <t>Newsrooms that logged into the analytics dashboard in at least 3 of the last 4 weeks.</t>
        </is>
      </c>
      <c r="D6" s="10" t="inlineStr">
        <is>
          <t>output</t>
        </is>
      </c>
      <c r="E6" s="10" t="inlineStr">
        <is>
          <t>newsrooms</t>
        </is>
      </c>
      <c r="F6" s="10" t="inlineStr">
        <is>
          <t>increase</t>
        </is>
      </c>
      <c r="G6" s="10" t="inlineStr">
        <is>
          <t>point</t>
        </is>
      </c>
      <c r="H6" s="10" t="n">
        <v>0</v>
      </c>
      <c r="I6" s="10" t="n">
        <v>30</v>
      </c>
      <c r="J6" s="12" t="n"/>
      <c r="K6" s="10" t="inlineStr">
        <is>
          <t>monthly</t>
        </is>
      </c>
      <c r="L6" s="10" t="inlineStr">
        <is>
          <t>Toolkit usage logs</t>
        </is>
      </c>
      <c r="M6" s="10" t="inlineStr">
        <is>
          <t>No</t>
        </is>
      </c>
      <c r="N6" s="10" t="inlineStr">
        <is>
          <t>external</t>
        </is>
      </c>
      <c r="O6" s="10" t="inlineStr">
        <is>
          <t>Average monthly digital audience per newsroom</t>
        </is>
      </c>
      <c r="P6" s="10" t="n"/>
      <c r="Q6" s="14">
        <f>IFERROR(INDEX(Initiatives!$B$2:$B$500,MATCH(A6,Initiatives!$A$2:$A$500,0)),"")</f>
        <v/>
      </c>
    </row>
    <row r="7">
      <c r="A7" s="10" t="inlineStr">
        <is>
          <t>Newsroom Digital Skills Training</t>
        </is>
      </c>
      <c r="B7" s="3" t="inlineStr">
        <is>
          <t>Average monthly digital audience per newsroom</t>
        </is>
      </c>
      <c r="C7" s="3" t="inlineStr">
        <is>
          <t>Median monthly unique visitors across participating newsrooms' websites.</t>
        </is>
      </c>
      <c r="D7" s="10" t="inlineStr">
        <is>
          <t>outcome</t>
        </is>
      </c>
      <c r="E7" s="10" t="inlineStr">
        <is>
          <t>unique visitors</t>
        </is>
      </c>
      <c r="F7" s="10" t="inlineStr">
        <is>
          <t>increase</t>
        </is>
      </c>
      <c r="G7" s="10" t="inlineStr">
        <is>
          <t>point</t>
        </is>
      </c>
      <c r="H7" s="10" t="n">
        <v>12000</v>
      </c>
      <c r="I7" s="10" t="n">
        <v>18000</v>
      </c>
      <c r="J7" s="12" t="n"/>
      <c r="K7" s="10" t="inlineStr">
        <is>
          <t>monthly</t>
        </is>
      </c>
      <c r="L7" s="10" t="inlineStr">
        <is>
          <t>Web analytics (shared toolkit)</t>
        </is>
      </c>
      <c r="M7" s="10" t="inlineStr">
        <is>
          <t>Yes</t>
        </is>
      </c>
      <c r="N7" s="10" t="inlineStr">
        <is>
          <t>external</t>
        </is>
      </c>
      <c r="O7" s="10" t="n"/>
      <c r="P7" s="10" t="n"/>
      <c r="Q7" s="14">
        <f>IFERROR(INDEX(Initiatives!$B$2:$B$500,MATCH(A7,Initiatives!$A$2:$A$500,0)),"")</f>
        <v/>
      </c>
    </row>
    <row r="8">
      <c r="A8" s="10" t="inlineStr">
        <is>
          <t>Newsroom Digital Skills Training</t>
        </is>
      </c>
      <c r="B8" s="3" t="inlineStr">
        <is>
          <t>Newsrooms with a new revenue stream</t>
        </is>
      </c>
      <c r="C8" s="3" t="inlineStr">
        <is>
          <t>Share of participating newsrooms that launched a revenue stream (memberships, events, sponsorship) since joining.</t>
        </is>
      </c>
      <c r="D8" s="10" t="inlineStr">
        <is>
          <t>outcome</t>
        </is>
      </c>
      <c r="E8" s="10" t="inlineStr">
        <is>
          <t>%</t>
        </is>
      </c>
      <c r="F8" s="10" t="inlineStr">
        <is>
          <t>increase</t>
        </is>
      </c>
      <c r="G8" s="10" t="inlineStr">
        <is>
          <t>point</t>
        </is>
      </c>
      <c r="H8" s="10" t="n">
        <v>15</v>
      </c>
      <c r="I8" s="10" t="n">
        <v>50</v>
      </c>
      <c r="J8" s="12" t="n"/>
      <c r="K8" s="10" t="inlineStr">
        <is>
          <t>monthly</t>
        </is>
      </c>
      <c r="L8" s="10" t="inlineStr">
        <is>
          <t>Monthly check-in form</t>
        </is>
      </c>
      <c r="M8" s="10" t="inlineStr">
        <is>
          <t>No</t>
        </is>
      </c>
      <c r="N8" s="10" t="inlineStr">
        <is>
          <t>external</t>
        </is>
      </c>
      <c r="O8" s="10" t="inlineStr">
        <is>
          <t>Financially sustainable newsrooms</t>
        </is>
      </c>
      <c r="P8" s="10" t="n"/>
      <c r="Q8" s="14">
        <f>IFERROR(INDEX(Initiatives!$B$2:$B$500,MATCH(A8,Initiatives!$A$2:$A$500,0)),"")</f>
        <v/>
      </c>
    </row>
    <row r="9">
      <c r="A9" s="10" t="inlineStr">
        <is>
          <t>Newsroom Digital Skills Training</t>
        </is>
      </c>
      <c r="B9" s="3" t="inlineStr">
        <is>
          <t>Trainees applying new skills</t>
        </is>
      </c>
      <c r="C9" s="3" t="inlineStr">
        <is>
          <t>Share of trainees who report using a technique from training in the last month, surveyed 8+ weeks after training.</t>
        </is>
      </c>
      <c r="D9" s="10" t="inlineStr">
        <is>
          <t>outcome</t>
        </is>
      </c>
      <c r="E9" s="10" t="inlineStr">
        <is>
          <t>%</t>
        </is>
      </c>
      <c r="F9" s="10" t="inlineStr">
        <is>
          <t>increase</t>
        </is>
      </c>
      <c r="G9" s="10" t="inlineStr">
        <is>
          <t>point</t>
        </is>
      </c>
      <c r="H9" s="10" t="n">
        <v>0</v>
      </c>
      <c r="I9" s="10" t="n">
        <v>70</v>
      </c>
      <c r="J9" s="12" t="n"/>
      <c r="K9" s="10" t="inlineStr">
        <is>
          <t>quarterly</t>
        </is>
      </c>
      <c r="L9" s="10" t="inlineStr">
        <is>
          <t>Follow-up survey</t>
        </is>
      </c>
      <c r="M9" s="10" t="inlineStr">
        <is>
          <t>No</t>
        </is>
      </c>
      <c r="N9" s="10" t="inlineStr">
        <is>
          <t>external</t>
        </is>
      </c>
      <c r="O9" s="10" t="n"/>
      <c r="P9" s="10" t="inlineStr">
        <is>
          <t>Trainees applying new skills</t>
        </is>
      </c>
      <c r="Q9" s="14">
        <f>IFERROR(INDEX(Initiatives!$B$2:$B$500,MATCH(A9,Initiatives!$A$2:$A$500,0)),"")</f>
        <v/>
      </c>
    </row>
    <row r="10">
      <c r="A10" s="10" t="inlineStr">
        <is>
          <t>Newsroom Digital Skills Training</t>
        </is>
      </c>
      <c r="B10" s="3" t="inlineStr">
        <is>
          <t>Reader trust score</t>
        </is>
      </c>
      <c r="C10" s="3" t="inlineStr">
        <is>
          <t>Mean answer to 'How much do you trust this outlet?' on a 1-10 scale, across participating newsrooms' reader surveys.</t>
        </is>
      </c>
      <c r="D10" s="10" t="inlineStr">
        <is>
          <t>outcome</t>
        </is>
      </c>
      <c r="E10" s="10" t="inlineStr">
        <is>
          <t>score (1-10)</t>
        </is>
      </c>
      <c r="F10" s="10" t="inlineStr">
        <is>
          <t>increase</t>
        </is>
      </c>
      <c r="G10" s="10" t="inlineStr">
        <is>
          <t>point</t>
        </is>
      </c>
      <c r="H10" s="10" t="n">
        <v>6.2</v>
      </c>
      <c r="I10" s="10" t="n">
        <v>7</v>
      </c>
      <c r="J10" s="12" t="n"/>
      <c r="K10" s="10" t="inlineStr">
        <is>
          <t>quarterly</t>
        </is>
      </c>
      <c r="L10" s="10" t="inlineStr">
        <is>
          <t>Reader survey</t>
        </is>
      </c>
      <c r="M10" s="10" t="inlineStr">
        <is>
          <t>No</t>
        </is>
      </c>
      <c r="N10" s="10" t="inlineStr">
        <is>
          <t>external</t>
        </is>
      </c>
      <c r="O10" s="10" t="n"/>
      <c r="P10" s="10" t="inlineStr">
        <is>
          <t>Audience trust score</t>
        </is>
      </c>
      <c r="Q10" s="14">
        <f>IFERROR(INDEX(Initiatives!$B$2:$B$500,MATCH(A10,Initiatives!$A$2:$A$500,0)),"")</f>
        <v/>
      </c>
    </row>
    <row r="11">
      <c r="A11" s="10" t="inlineStr">
        <is>
          <t>Newsroom Digital Skills Training</t>
        </is>
      </c>
      <c r="B11" s="3" t="inlineStr">
        <is>
          <t>Financially sustainable newsrooms</t>
        </is>
      </c>
      <c r="C11" s="3" t="inlineStr">
        <is>
          <t>Participating newsrooms whose revenue covers operating costs for 3 consecutive months.</t>
        </is>
      </c>
      <c r="D11" s="10" t="inlineStr">
        <is>
          <t>impact</t>
        </is>
      </c>
      <c r="E11" s="10" t="inlineStr">
        <is>
          <t>newsrooms</t>
        </is>
      </c>
      <c r="F11" s="10" t="inlineStr">
        <is>
          <t>increase</t>
        </is>
      </c>
      <c r="G11" s="10" t="inlineStr">
        <is>
          <t>point</t>
        </is>
      </c>
      <c r="H11" s="10" t="n">
        <v>8</v>
      </c>
      <c r="I11" s="10" t="n">
        <v>20</v>
      </c>
      <c r="J11" s="12" t="n"/>
      <c r="K11" s="10" t="inlineStr">
        <is>
          <t>quarterly</t>
        </is>
      </c>
      <c r="L11" s="10" t="inlineStr">
        <is>
          <t>Financial returns (modelled from partial data)</t>
        </is>
      </c>
      <c r="M11" s="10" t="inlineStr">
        <is>
          <t>Yes</t>
        </is>
      </c>
      <c r="N11" s="10" t="inlineStr">
        <is>
          <t>external</t>
        </is>
      </c>
      <c r="O11" s="10" t="n"/>
      <c r="P11" s="10" t="n"/>
      <c r="Q11" s="14">
        <f>IFERROR(INDEX(Initiatives!$B$2:$B$500,MATCH(A11,Initiatives!$A$2:$A$500,0)),"")</f>
        <v/>
      </c>
    </row>
    <row r="12">
      <c r="A12" s="10" t="inlineStr">
        <is>
          <t>Newsroom Champions (internal)</t>
        </is>
      </c>
      <c r="B12" s="3" t="inlineStr">
        <is>
          <t>Colleagues completing news-literacy training</t>
        </is>
      </c>
      <c r="C12" s="3" t="n"/>
      <c r="D12" s="10" t="inlineStr">
        <is>
          <t>output</t>
        </is>
      </c>
      <c r="E12" s="10" t="inlineStr">
        <is>
          <t>people</t>
        </is>
      </c>
      <c r="F12" s="10" t="inlineStr">
        <is>
          <t>increase</t>
        </is>
      </c>
      <c r="G12" s="10" t="inlineStr">
        <is>
          <t>cumulative</t>
        </is>
      </c>
      <c r="H12" s="10" t="n">
        <v>0</v>
      </c>
      <c r="I12" s="10" t="n">
        <v>400</v>
      </c>
      <c r="J12" s="12" t="n"/>
      <c r="K12" s="10" t="inlineStr">
        <is>
          <t>monthly</t>
        </is>
      </c>
      <c r="L12" s="10" t="inlineStr">
        <is>
          <t>Learning platform</t>
        </is>
      </c>
      <c r="M12" s="10" t="inlineStr">
        <is>
          <t>Yes</t>
        </is>
      </c>
      <c r="N12" s="10" t="inlineStr">
        <is>
          <t>internal</t>
        </is>
      </c>
      <c r="O12" s="10" t="n"/>
      <c r="P12" s="10" t="n"/>
      <c r="Q12" s="14">
        <f>IFERROR(INDEX(Initiatives!$B$2:$B$500,MATCH(A12,Initiatives!$A$2:$A$500,0)),"")</f>
        <v/>
      </c>
    </row>
    <row r="13">
      <c r="A13" s="10" t="inlineStr">
        <is>
          <t>Newsroom Champions (internal)</t>
        </is>
      </c>
      <c r="B13" s="3" t="inlineStr">
        <is>
          <t>Certified internal champions</t>
        </is>
      </c>
      <c r="C13" s="3" t="n"/>
      <c r="D13" s="10" t="inlineStr">
        <is>
          <t>output</t>
        </is>
      </c>
      <c r="E13" s="10" t="inlineStr">
        <is>
          <t>champions</t>
        </is>
      </c>
      <c r="F13" s="10" t="inlineStr">
        <is>
          <t>increase</t>
        </is>
      </c>
      <c r="G13" s="10" t="inlineStr">
        <is>
          <t>cumulative</t>
        </is>
      </c>
      <c r="H13" s="10" t="n">
        <v>0</v>
      </c>
      <c r="I13" s="10" t="n">
        <v>40</v>
      </c>
      <c r="J13" s="12" t="n"/>
      <c r="K13" s="10" t="inlineStr">
        <is>
          <t>monthly</t>
        </is>
      </c>
      <c r="L13" s="10" t="inlineStr">
        <is>
          <t>Champions register</t>
        </is>
      </c>
      <c r="M13" s="10" t="inlineStr">
        <is>
          <t>No</t>
        </is>
      </c>
      <c r="N13" s="10" t="inlineStr">
        <is>
          <t>internal</t>
        </is>
      </c>
      <c r="O13" s="10" t="inlineStr">
        <is>
          <t>Colleagues confident explaining the programme</t>
        </is>
      </c>
      <c r="P13" s="10" t="n"/>
      <c r="Q13" s="14">
        <f>IFERROR(INDEX(Initiatives!$B$2:$B$500,MATCH(A13,Initiatives!$A$2:$A$500,0)),"")</f>
        <v/>
      </c>
    </row>
    <row r="14">
      <c r="A14" s="10" t="inlineStr">
        <is>
          <t>Newsroom Champions (internal)</t>
        </is>
      </c>
      <c r="B14" s="3" t="inlineStr">
        <is>
          <t>Colleagues confident explaining the programme</t>
        </is>
      </c>
      <c r="C14" s="3" t="n"/>
      <c r="D14" s="10" t="inlineStr">
        <is>
          <t>outcome</t>
        </is>
      </c>
      <c r="E14" s="10" t="inlineStr">
        <is>
          <t>%</t>
        </is>
      </c>
      <c r="F14" s="10" t="inlineStr">
        <is>
          <t>increase</t>
        </is>
      </c>
      <c r="G14" s="10" t="inlineStr">
        <is>
          <t>point</t>
        </is>
      </c>
      <c r="H14" s="10" t="n">
        <v>35</v>
      </c>
      <c r="I14" s="10" t="n">
        <v>70</v>
      </c>
      <c r="J14" s="12" t="n"/>
      <c r="K14" s="10" t="inlineStr">
        <is>
          <t>quarterly</t>
        </is>
      </c>
      <c r="L14" s="10" t="inlineStr">
        <is>
          <t>Quarterly pulse survey</t>
        </is>
      </c>
      <c r="M14" s="10" t="inlineStr">
        <is>
          <t>Yes</t>
        </is>
      </c>
      <c r="N14" s="10" t="inlineStr">
        <is>
          <t>internal</t>
        </is>
      </c>
      <c r="O14" s="10" t="n"/>
      <c r="P14" s="10" t="n"/>
      <c r="Q14" s="14">
        <f>IFERROR(INDEX(Initiatives!$B$2:$B$500,MATCH(A14,Initiatives!$A$2:$A$500,0)),"")</f>
        <v/>
      </c>
    </row>
    <row r="15">
      <c r="A15" s="10" t="inlineStr">
        <is>
          <t>Newsroom Champions (internal)</t>
        </is>
      </c>
      <c r="B15" s="3" t="inlineStr">
        <is>
          <t>Teams using programme case studies</t>
        </is>
      </c>
      <c r="C15" s="3" t="n"/>
      <c r="D15" s="10" t="inlineStr">
        <is>
          <t>outcome</t>
        </is>
      </c>
      <c r="E15" s="10" t="inlineStr">
        <is>
          <t>teams</t>
        </is>
      </c>
      <c r="F15" s="10" t="inlineStr">
        <is>
          <t>increase</t>
        </is>
      </c>
      <c r="G15" s="10" t="inlineStr">
        <is>
          <t>point</t>
        </is>
      </c>
      <c r="H15" s="10" t="n">
        <v>0</v>
      </c>
      <c r="I15" s="10" t="n">
        <v>15</v>
      </c>
      <c r="J15" s="12" t="n"/>
      <c r="K15" s="10" t="inlineStr">
        <is>
          <t>monthly</t>
        </is>
      </c>
      <c r="L15" s="10" t="inlineStr">
        <is>
          <t>Comms request log</t>
        </is>
      </c>
      <c r="M15" s="10" t="inlineStr">
        <is>
          <t>No</t>
        </is>
      </c>
      <c r="N15" s="10" t="inlineStr">
        <is>
          <t>internal</t>
        </is>
      </c>
      <c r="O15" s="10" t="n"/>
      <c r="P15" s="10" t="n"/>
      <c r="Q15" s="14">
        <f>IFERROR(INDEX(Initiatives!$B$2:$B$500,MATCH(A15,Initiatives!$A$2:$A$500,0)),"")</f>
        <v/>
      </c>
    </row>
    <row r="16">
      <c r="A16" s="10" t="inlineStr">
        <is>
          <t>Newsroom Tools Partnership</t>
        </is>
      </c>
      <c r="B16" s="3" t="inlineStr">
        <is>
          <t>Partner newsrooms live on the tools</t>
        </is>
      </c>
      <c r="C16" s="3" t="inlineStr">
        <is>
          <t>Newsrooms with at least one partner tool in weekly use.</t>
        </is>
      </c>
      <c r="D16" s="10" t="inlineStr">
        <is>
          <t>output</t>
        </is>
      </c>
      <c r="E16" s="10" t="inlineStr">
        <is>
          <t>newsrooms</t>
        </is>
      </c>
      <c r="F16" s="10" t="inlineStr">
        <is>
          <t>increase</t>
        </is>
      </c>
      <c r="G16" s="10" t="inlineStr">
        <is>
          <t>point</t>
        </is>
      </c>
      <c r="H16" s="10" t="n">
        <v>0</v>
      </c>
      <c r="I16" s="10" t="n">
        <v>60</v>
      </c>
      <c r="J16" s="12" t="n"/>
      <c r="K16" s="10" t="inlineStr">
        <is>
          <t>monthly</t>
        </is>
      </c>
      <c r="L16" s="10" t="inlineStr">
        <is>
          <t>Partner dashboards</t>
        </is>
      </c>
      <c r="M16" s="10" t="inlineStr">
        <is>
          <t>Yes</t>
        </is>
      </c>
      <c r="N16" s="10" t="inlineStr">
        <is>
          <t>external</t>
        </is>
      </c>
      <c r="O16" s="10" t="n"/>
      <c r="P16" s="10" t="n"/>
      <c r="Q16" s="14">
        <f>IFERROR(INDEX(Initiatives!$B$2:$B$500,MATCH(A16,Initiatives!$A$2:$A$500,0)),"")</f>
        <v/>
      </c>
    </row>
    <row r="17">
      <c r="A17" s="10" t="inlineStr">
        <is>
          <t>Newsroom Tools Partnership</t>
        </is>
      </c>
      <c r="B17" s="3" t="inlineStr">
        <is>
          <t>Weekly active journalists on the tools</t>
        </is>
      </c>
      <c r="C17" s="3" t="inlineStr">
        <is>
          <t>Unique journalists using a partner tool in the last 7 days.</t>
        </is>
      </c>
      <c r="D17" s="10" t="inlineStr">
        <is>
          <t>outcome</t>
        </is>
      </c>
      <c r="E17" s="10" t="inlineStr">
        <is>
          <t>journalists</t>
        </is>
      </c>
      <c r="F17" s="10" t="inlineStr">
        <is>
          <t>increase</t>
        </is>
      </c>
      <c r="G17" s="10" t="inlineStr">
        <is>
          <t>point</t>
        </is>
      </c>
      <c r="H17" s="10" t="n">
        <v>0</v>
      </c>
      <c r="I17" s="10" t="n">
        <v>900</v>
      </c>
      <c r="J17" s="12" t="n"/>
      <c r="K17" s="10" t="inlineStr">
        <is>
          <t>monthly</t>
        </is>
      </c>
      <c r="L17" s="10" t="inlineStr">
        <is>
          <t>Partner analytics</t>
        </is>
      </c>
      <c r="M17" s="10" t="inlineStr">
        <is>
          <t>No</t>
        </is>
      </c>
      <c r="N17" s="10" t="inlineStr">
        <is>
          <t>external</t>
        </is>
      </c>
      <c r="O17" s="10" t="inlineStr">
        <is>
          <t>Partner satisfaction (NPS)</t>
        </is>
      </c>
      <c r="P17" s="10" t="n"/>
      <c r="Q17" s="14">
        <f>IFERROR(INDEX(Initiatives!$B$2:$B$500,MATCH(A17,Initiatives!$A$2:$A$500,0)),"")</f>
        <v/>
      </c>
    </row>
    <row r="18">
      <c r="A18" s="10" t="inlineStr">
        <is>
          <t>Newsroom Tools Partnership</t>
        </is>
      </c>
      <c r="B18" s="3" t="inlineStr">
        <is>
          <t>Minutes saved per story</t>
        </is>
      </c>
      <c r="C18" s="3" t="inlineStr">
        <is>
          <t>Average time saved on transcription and publishing per story, from the quarterly user survey.</t>
        </is>
      </c>
      <c r="D18" s="10" t="inlineStr">
        <is>
          <t>outcome</t>
        </is>
      </c>
      <c r="E18" s="10" t="inlineStr">
        <is>
          <t>minutes</t>
        </is>
      </c>
      <c r="F18" s="10" t="inlineStr">
        <is>
          <t>increase</t>
        </is>
      </c>
      <c r="G18" s="10" t="inlineStr">
        <is>
          <t>point</t>
        </is>
      </c>
      <c r="H18" s="10" t="n">
        <v>0</v>
      </c>
      <c r="I18" s="10" t="n">
        <v>20</v>
      </c>
      <c r="J18" s="12" t="n"/>
      <c r="K18" s="10" t="inlineStr">
        <is>
          <t>quarterly</t>
        </is>
      </c>
      <c r="L18" s="10" t="inlineStr">
        <is>
          <t>User survey</t>
        </is>
      </c>
      <c r="M18" s="10" t="inlineStr">
        <is>
          <t>No</t>
        </is>
      </c>
      <c r="N18" s="10" t="inlineStr">
        <is>
          <t>external</t>
        </is>
      </c>
      <c r="O18" s="10" t="n"/>
      <c r="P18" s="10" t="n"/>
      <c r="Q18" s="14">
        <f>IFERROR(INDEX(Initiatives!$B$2:$B$500,MATCH(A18,Initiatives!$A$2:$A$500,0)),"")</f>
        <v/>
      </c>
    </row>
    <row r="19">
      <c r="A19" s="10" t="inlineStr">
        <is>
          <t>Newsroom Tools Partnership</t>
        </is>
      </c>
      <c r="B19" s="3" t="inlineStr">
        <is>
          <t>Stories published with partner tools</t>
        </is>
      </c>
      <c r="C19" s="3" t="inlineStr">
        <is>
          <t>Stories published through partner publishing tools.</t>
        </is>
      </c>
      <c r="D19" s="10" t="inlineStr">
        <is>
          <t>output</t>
        </is>
      </c>
      <c r="E19" s="10" t="inlineStr">
        <is>
          <t>stories</t>
        </is>
      </c>
      <c r="F19" s="10" t="inlineStr">
        <is>
          <t>increase</t>
        </is>
      </c>
      <c r="G19" s="10" t="inlineStr">
        <is>
          <t>cumulative</t>
        </is>
      </c>
      <c r="H19" s="10" t="n">
        <v>0</v>
      </c>
      <c r="I19" s="10" t="n">
        <v>6000</v>
      </c>
      <c r="J19" s="12" t="n"/>
      <c r="K19" s="10" t="inlineStr">
        <is>
          <t>monthly</t>
        </is>
      </c>
      <c r="L19" s="10" t="inlineStr">
        <is>
          <t>Partner analytics</t>
        </is>
      </c>
      <c r="M19" s="10" t="inlineStr">
        <is>
          <t>No</t>
        </is>
      </c>
      <c r="N19" s="10" t="inlineStr">
        <is>
          <t>external</t>
        </is>
      </c>
      <c r="O19" s="10" t="n"/>
      <c r="P19" s="10" t="n"/>
      <c r="Q19" s="14">
        <f>IFERROR(INDEX(Initiatives!$B$2:$B$500,MATCH(A19,Initiatives!$A$2:$A$500,0)),"")</f>
        <v/>
      </c>
    </row>
    <row r="20">
      <c r="A20" s="10" t="inlineStr">
        <is>
          <t>Newsroom Tools Partnership</t>
        </is>
      </c>
      <c r="B20" s="3" t="inlineStr">
        <is>
          <t>Partner satisfaction (NPS)</t>
        </is>
      </c>
      <c r="C20" s="3" t="inlineStr">
        <is>
          <t>Net Promoter Score from newsroom users of partner tools.</t>
        </is>
      </c>
      <c r="D20" s="10" t="inlineStr">
        <is>
          <t>outcome</t>
        </is>
      </c>
      <c r="E20" s="10" t="inlineStr">
        <is>
          <t>NPS</t>
        </is>
      </c>
      <c r="F20" s="10" t="inlineStr">
        <is>
          <t>increase</t>
        </is>
      </c>
      <c r="G20" s="10" t="inlineStr">
        <is>
          <t>point</t>
        </is>
      </c>
      <c r="H20" s="10" t="n">
        <v>20</v>
      </c>
      <c r="I20" s="10" t="n">
        <v>50</v>
      </c>
      <c r="J20" s="12" t="n"/>
      <c r="K20" s="10" t="inlineStr">
        <is>
          <t>quarterly</t>
        </is>
      </c>
      <c r="L20" s="10" t="inlineStr">
        <is>
          <t>User survey</t>
        </is>
      </c>
      <c r="M20" s="10" t="inlineStr">
        <is>
          <t>Yes</t>
        </is>
      </c>
      <c r="N20" s="10" t="inlineStr">
        <is>
          <t>external</t>
        </is>
      </c>
      <c r="O20" s="10" t="n"/>
      <c r="P20" s="10" t="n"/>
      <c r="Q20" s="14">
        <f>IFERROR(INDEX(Initiatives!$B$2:$B$500,MATCH(A20,Initiatives!$A$2:$A$500,0)),"")</f>
        <v/>
      </c>
    </row>
    <row r="21">
      <c r="A21" s="10" t="inlineStr">
        <is>
          <t>Product Feedback Loop (internal)</t>
        </is>
      </c>
      <c r="B21" s="3" t="inlineStr">
        <is>
          <t>Newsroom feedback sessions with product teams</t>
        </is>
      </c>
      <c r="C21" s="3" t="inlineStr">
        <is>
          <t>Structured sessions where newsroom users meet product teams.</t>
        </is>
      </c>
      <c r="D21" s="10" t="inlineStr">
        <is>
          <t>activity</t>
        </is>
      </c>
      <c r="E21" s="10" t="inlineStr">
        <is>
          <t>sessions</t>
        </is>
      </c>
      <c r="F21" s="10" t="inlineStr">
        <is>
          <t>increase</t>
        </is>
      </c>
      <c r="G21" s="10" t="inlineStr">
        <is>
          <t>cumulative</t>
        </is>
      </c>
      <c r="H21" s="10" t="n">
        <v>0</v>
      </c>
      <c r="I21" s="10" t="n">
        <v>24</v>
      </c>
      <c r="J21" s="12" t="n"/>
      <c r="K21" s="10" t="inlineStr">
        <is>
          <t>monthly</t>
        </is>
      </c>
      <c r="L21" s="10" t="inlineStr">
        <is>
          <t>Programme log</t>
        </is>
      </c>
      <c r="M21" s="10" t="inlineStr">
        <is>
          <t>No</t>
        </is>
      </c>
      <c r="N21" s="10" t="inlineStr">
        <is>
          <t>internal</t>
        </is>
      </c>
      <c r="O21" s="10" t="n"/>
      <c r="P21" s="10" t="n"/>
      <c r="Q21" s="14">
        <f>IFERROR(INDEX(Initiatives!$B$2:$B$500,MATCH(A21,Initiatives!$A$2:$A$500,0)),"")</f>
        <v/>
      </c>
    </row>
    <row r="22">
      <c r="A22" s="10" t="inlineStr">
        <is>
          <t>Product Feedback Loop (internal)</t>
        </is>
      </c>
      <c r="B22" s="3" t="inlineStr">
        <is>
          <t>Product teams using newsroom insights</t>
        </is>
      </c>
      <c r="C22" s="3" t="inlineStr">
        <is>
          <t>Product teams that cite programme insights in their quarterly plans.</t>
        </is>
      </c>
      <c r="D22" s="10" t="inlineStr">
        <is>
          <t>outcome</t>
        </is>
      </c>
      <c r="E22" s="10" t="inlineStr">
        <is>
          <t>teams</t>
        </is>
      </c>
      <c r="F22" s="10" t="inlineStr">
        <is>
          <t>increase</t>
        </is>
      </c>
      <c r="G22" s="10" t="inlineStr">
        <is>
          <t>point</t>
        </is>
      </c>
      <c r="H22" s="10" t="n">
        <v>0</v>
      </c>
      <c r="I22" s="10" t="n">
        <v>12</v>
      </c>
      <c r="J22" s="12" t="n"/>
      <c r="K22" s="10" t="inlineStr">
        <is>
          <t>monthly</t>
        </is>
      </c>
      <c r="L22" s="10" t="inlineStr">
        <is>
          <t>Product planning docs</t>
        </is>
      </c>
      <c r="M22" s="10" t="inlineStr">
        <is>
          <t>Yes</t>
        </is>
      </c>
      <c r="N22" s="10" t="inlineStr">
        <is>
          <t>internal</t>
        </is>
      </c>
      <c r="O22" s="10" t="n"/>
      <c r="P22" s="10" t="n"/>
      <c r="Q22" s="14">
        <f>IFERROR(INDEX(Initiatives!$B$2:$B$500,MATCH(A22,Initiatives!$A$2:$A$500,0)),"")</f>
        <v/>
      </c>
    </row>
    <row r="23">
      <c r="A23" s="10" t="inlineStr">
        <is>
          <t>Product Feedback Loop (internal)</t>
        </is>
      </c>
      <c r="B23" s="3" t="inlineStr">
        <is>
          <t>Newsroom-requested features shipped</t>
        </is>
      </c>
      <c r="C23" s="3" t="inlineStr">
        <is>
          <t>Features shipped that trace back to a newsroom request in the insights log.</t>
        </is>
      </c>
      <c r="D23" s="10" t="inlineStr">
        <is>
          <t>output</t>
        </is>
      </c>
      <c r="E23" s="10" t="inlineStr">
        <is>
          <t>features</t>
        </is>
      </c>
      <c r="F23" s="10" t="inlineStr">
        <is>
          <t>increase</t>
        </is>
      </c>
      <c r="G23" s="10" t="inlineStr">
        <is>
          <t>cumulative</t>
        </is>
      </c>
      <c r="H23" s="10" t="n">
        <v>0</v>
      </c>
      <c r="I23" s="10" t="n">
        <v>10</v>
      </c>
      <c r="J23" s="12" t="n"/>
      <c r="K23" s="10" t="inlineStr">
        <is>
          <t>monthly</t>
        </is>
      </c>
      <c r="L23" s="10" t="inlineStr">
        <is>
          <t>Insights log</t>
        </is>
      </c>
      <c r="M23" s="10" t="inlineStr">
        <is>
          <t>No</t>
        </is>
      </c>
      <c r="N23" s="10" t="inlineStr">
        <is>
          <t>internal</t>
        </is>
      </c>
      <c r="O23" s="10" t="n"/>
      <c r="P23" s="10" t="n"/>
      <c r="Q23" s="14">
        <f>IFERROR(INDEX(Initiatives!$B$2:$B$500,MATCH(A23,Initiatives!$A$2:$A$500,0)),"")</f>
        <v/>
      </c>
    </row>
    <row r="24">
      <c r="A24" s="10" t="inlineStr">
        <is>
          <t>Local News Audience Study</t>
        </is>
      </c>
      <c r="B24" s="3" t="inlineStr">
        <is>
          <t>Survey responses collected</t>
        </is>
      </c>
      <c r="C24" s="3" t="inlineStr">
        <is>
          <t>Completed responses meeting quality checks.</t>
        </is>
      </c>
      <c r="D24" s="10" t="inlineStr">
        <is>
          <t>activity</t>
        </is>
      </c>
      <c r="E24" s="10" t="inlineStr">
        <is>
          <t>responses</t>
        </is>
      </c>
      <c r="F24" s="10" t="inlineStr">
        <is>
          <t>increase</t>
        </is>
      </c>
      <c r="G24" s="10" t="inlineStr">
        <is>
          <t>cumulative</t>
        </is>
      </c>
      <c r="H24" s="10" t="n">
        <v>0</v>
      </c>
      <c r="I24" s="10" t="n">
        <v>5000</v>
      </c>
      <c r="J24" s="12" t="n"/>
      <c r="K24" s="10" t="inlineStr">
        <is>
          <t>monthly</t>
        </is>
      </c>
      <c r="L24" s="10" t="inlineStr">
        <is>
          <t>Survey panel</t>
        </is>
      </c>
      <c r="M24" s="10" t="inlineStr">
        <is>
          <t>No</t>
        </is>
      </c>
      <c r="N24" s="10" t="inlineStr">
        <is>
          <t>both</t>
        </is>
      </c>
      <c r="O24" s="10" t="n"/>
      <c r="P24" s="10" t="n"/>
      <c r="Q24" s="14">
        <f>IFERROR(INDEX(Initiatives!$B$2:$B$500,MATCH(A24,Initiatives!$A$2:$A$500,0)),"")</f>
        <v/>
      </c>
    </row>
    <row r="25">
      <c r="A25" s="10" t="inlineStr">
        <is>
          <t>Local News Audience Study</t>
        </is>
      </c>
      <c r="B25" s="3" t="inlineStr">
        <is>
          <t>Research briefs published</t>
        </is>
      </c>
      <c r="C25" s="3" t="inlineStr">
        <is>
          <t>Short briefs published on the programme website.</t>
        </is>
      </c>
      <c r="D25" s="10" t="inlineStr">
        <is>
          <t>output</t>
        </is>
      </c>
      <c r="E25" s="10" t="inlineStr">
        <is>
          <t>briefs</t>
        </is>
      </c>
      <c r="F25" s="10" t="inlineStr">
        <is>
          <t>increase</t>
        </is>
      </c>
      <c r="G25" s="10" t="inlineStr">
        <is>
          <t>cumulative</t>
        </is>
      </c>
      <c r="H25" s="10" t="n">
        <v>0</v>
      </c>
      <c r="I25" s="10" t="n">
        <v>6</v>
      </c>
      <c r="J25" s="12" t="n"/>
      <c r="K25" s="10" t="inlineStr">
        <is>
          <t>monthly</t>
        </is>
      </c>
      <c r="L25" s="10" t="inlineStr">
        <is>
          <t>Website</t>
        </is>
      </c>
      <c r="M25" s="10" t="inlineStr">
        <is>
          <t>No</t>
        </is>
      </c>
      <c r="N25" s="10" t="inlineStr">
        <is>
          <t>both</t>
        </is>
      </c>
      <c r="O25" s="10" t="n"/>
      <c r="P25" s="10" t="n"/>
      <c r="Q25" s="14">
        <f>IFERROR(INDEX(Initiatives!$B$2:$B$500,MATCH(A25,Initiatives!$A$2:$A$500,0)),"")</f>
        <v/>
      </c>
    </row>
    <row r="26">
      <c r="A26" s="10" t="inlineStr">
        <is>
          <t>Local News Audience Study</t>
        </is>
      </c>
      <c r="B26" s="3" t="inlineStr">
        <is>
          <t>Report downloads</t>
        </is>
      </c>
      <c r="C26" s="3" t="inlineStr">
        <is>
          <t>Downloads of briefs and the full report.</t>
        </is>
      </c>
      <c r="D26" s="10" t="inlineStr">
        <is>
          <t>output</t>
        </is>
      </c>
      <c r="E26" s="10" t="inlineStr">
        <is>
          <t>downloads</t>
        </is>
      </c>
      <c r="F26" s="10" t="inlineStr">
        <is>
          <t>increase</t>
        </is>
      </c>
      <c r="G26" s="10" t="inlineStr">
        <is>
          <t>cumulative</t>
        </is>
      </c>
      <c r="H26" s="10" t="n">
        <v>0</v>
      </c>
      <c r="I26" s="10" t="n">
        <v>4000</v>
      </c>
      <c r="J26" s="12" t="n"/>
      <c r="K26" s="10" t="inlineStr">
        <is>
          <t>monthly</t>
        </is>
      </c>
      <c r="L26" s="10" t="inlineStr">
        <is>
          <t>Website analytics</t>
        </is>
      </c>
      <c r="M26" s="10" t="inlineStr">
        <is>
          <t>No</t>
        </is>
      </c>
      <c r="N26" s="10" t="inlineStr">
        <is>
          <t>external</t>
        </is>
      </c>
      <c r="O26" s="10" t="inlineStr">
        <is>
          <t>Citations in policy papers and press</t>
        </is>
      </c>
      <c r="P26" s="10" t="n"/>
      <c r="Q26" s="14">
        <f>IFERROR(INDEX(Initiatives!$B$2:$B$500,MATCH(A26,Initiatives!$A$2:$A$500,0)),"")</f>
        <v/>
      </c>
    </row>
    <row r="27">
      <c r="A27" s="10" t="inlineStr">
        <is>
          <t>Local News Audience Study</t>
        </is>
      </c>
      <c r="B27" s="3" t="inlineStr">
        <is>
          <t>Citations in policy papers and press</t>
        </is>
      </c>
      <c r="C27" s="3" t="inlineStr">
        <is>
          <t>Policy documents and press articles citing the study.</t>
        </is>
      </c>
      <c r="D27" s="10" t="inlineStr">
        <is>
          <t>outcome</t>
        </is>
      </c>
      <c r="E27" s="10" t="inlineStr">
        <is>
          <t>citations</t>
        </is>
      </c>
      <c r="F27" s="10" t="inlineStr">
        <is>
          <t>increase</t>
        </is>
      </c>
      <c r="G27" s="10" t="inlineStr">
        <is>
          <t>cumulative</t>
        </is>
      </c>
      <c r="H27" s="10" t="n">
        <v>0</v>
      </c>
      <c r="I27" s="10" t="n">
        <v>25</v>
      </c>
      <c r="J27" s="12" t="n"/>
      <c r="K27" s="10" t="inlineStr">
        <is>
          <t>monthly</t>
        </is>
      </c>
      <c r="L27" s="10" t="inlineStr">
        <is>
          <t>Media and policy monitoring</t>
        </is>
      </c>
      <c r="M27" s="10" t="inlineStr">
        <is>
          <t>Yes</t>
        </is>
      </c>
      <c r="N27" s="10" t="inlineStr">
        <is>
          <t>external</t>
        </is>
      </c>
      <c r="O27" s="10" t="n"/>
      <c r="P27" s="10" t="n"/>
      <c r="Q27" s="14">
        <f>IFERROR(INDEX(Initiatives!$B$2:$B$500,MATCH(A27,Initiatives!$A$2:$A$500,0)),"")</f>
        <v/>
      </c>
    </row>
    <row r="28">
      <c r="A28" s="10" t="inlineStr">
        <is>
          <t>Local News Audience Study</t>
        </is>
      </c>
      <c r="B28" s="3" t="inlineStr">
        <is>
          <t>Internal teams using the findings</t>
        </is>
      </c>
      <c r="C28" s="3" t="inlineStr">
        <is>
          <t>Internal teams that used a finding in a plan, pitch or briefing.</t>
        </is>
      </c>
      <c r="D28" s="10" t="inlineStr">
        <is>
          <t>outcome</t>
        </is>
      </c>
      <c r="E28" s="10" t="inlineStr">
        <is>
          <t>teams</t>
        </is>
      </c>
      <c r="F28" s="10" t="inlineStr">
        <is>
          <t>increase</t>
        </is>
      </c>
      <c r="G28" s="10" t="inlineStr">
        <is>
          <t>point</t>
        </is>
      </c>
      <c r="H28" s="10" t="n">
        <v>0</v>
      </c>
      <c r="I28" s="10" t="n">
        <v>10</v>
      </c>
      <c r="J28" s="12" t="n"/>
      <c r="K28" s="10" t="inlineStr">
        <is>
          <t>monthly</t>
        </is>
      </c>
      <c r="L28" s="10" t="inlineStr">
        <is>
          <t>Internal survey</t>
        </is>
      </c>
      <c r="M28" s="10" t="inlineStr">
        <is>
          <t>Yes</t>
        </is>
      </c>
      <c r="N28" s="10" t="inlineStr">
        <is>
          <t>internal</t>
        </is>
      </c>
      <c r="O28" s="10" t="n"/>
      <c r="P28" s="10" t="n"/>
      <c r="Q28" s="14">
        <f>IFERROR(INDEX(Initiatives!$B$2:$B$500,MATCH(A28,Initiatives!$A$2:$A$500,0)),"")</f>
        <v/>
      </c>
    </row>
    <row r="29">
      <c r="A29" s="10" t="inlineStr">
        <is>
          <t>Global News Summit 2026</t>
        </is>
      </c>
      <c r="B29" s="3" t="inlineStr">
        <is>
          <t>Summit registrations</t>
        </is>
      </c>
      <c r="C29" s="3" t="inlineStr">
        <is>
          <t>Confirmed registrations (in person and online).</t>
        </is>
      </c>
      <c r="D29" s="10" t="inlineStr">
        <is>
          <t>output</t>
        </is>
      </c>
      <c r="E29" s="10" t="inlineStr">
        <is>
          <t>registrations</t>
        </is>
      </c>
      <c r="F29" s="10" t="inlineStr">
        <is>
          <t>increase</t>
        </is>
      </c>
      <c r="G29" s="10" t="inlineStr">
        <is>
          <t>cumulative</t>
        </is>
      </c>
      <c r="H29" s="10" t="n">
        <v>0</v>
      </c>
      <c r="I29" s="10" t="n">
        <v>800</v>
      </c>
      <c r="J29" s="12" t="n"/>
      <c r="K29" s="10" t="inlineStr">
        <is>
          <t>monthly</t>
        </is>
      </c>
      <c r="L29" s="10" t="inlineStr">
        <is>
          <t>Registration platform</t>
        </is>
      </c>
      <c r="M29" s="10" t="inlineStr">
        <is>
          <t>Yes</t>
        </is>
      </c>
      <c r="N29" s="10" t="inlineStr">
        <is>
          <t>external</t>
        </is>
      </c>
      <c r="O29" s="10" t="n"/>
      <c r="P29" s="10" t="n"/>
      <c r="Q29" s="14">
        <f>IFERROR(INDEX(Initiatives!$B$2:$B$500,MATCH(A29,Initiatives!$A$2:$A$500,0)),"")</f>
        <v/>
      </c>
    </row>
    <row r="30">
      <c r="A30" s="10" t="inlineStr">
        <is>
          <t>Global News Summit 2026</t>
        </is>
      </c>
      <c r="B30" s="3" t="inlineStr">
        <is>
          <t>Speakers confirmed</t>
        </is>
      </c>
      <c r="C30" s="3" t="inlineStr">
        <is>
          <t>Speakers with signed confirmations.</t>
        </is>
      </c>
      <c r="D30" s="10" t="inlineStr">
        <is>
          <t>activity</t>
        </is>
      </c>
      <c r="E30" s="10" t="inlineStr">
        <is>
          <t>speakers</t>
        </is>
      </c>
      <c r="F30" s="10" t="inlineStr">
        <is>
          <t>increase</t>
        </is>
      </c>
      <c r="G30" s="10" t="inlineStr">
        <is>
          <t>cumulative</t>
        </is>
      </c>
      <c r="H30" s="10" t="n">
        <v>0</v>
      </c>
      <c r="I30" s="10" t="n">
        <v>40</v>
      </c>
      <c r="J30" s="12" t="n"/>
      <c r="K30" s="10" t="inlineStr">
        <is>
          <t>monthly</t>
        </is>
      </c>
      <c r="L30" s="10" t="inlineStr">
        <is>
          <t>Programme plan</t>
        </is>
      </c>
      <c r="M30" s="10" t="inlineStr">
        <is>
          <t>No</t>
        </is>
      </c>
      <c r="N30" s="10" t="inlineStr">
        <is>
          <t>external</t>
        </is>
      </c>
      <c r="O30" s="10" t="n"/>
      <c r="P30" s="10" t="n"/>
      <c r="Q30" s="14">
        <f>IFERROR(INDEX(Initiatives!$B$2:$B$500,MATCH(A30,Initiatives!$A$2:$A$500,0)),"")</f>
        <v/>
      </c>
    </row>
    <row r="31">
      <c r="A31" s="10" t="inlineStr">
        <is>
          <t>Global News Summit 2026</t>
        </is>
      </c>
      <c r="B31" s="3" t="inlineStr">
        <is>
          <t>Sponsor and partner commitments</t>
        </is>
      </c>
      <c r="C31" s="3" t="inlineStr">
        <is>
          <t>Signed sponsorship or in-kind partner agreements.</t>
        </is>
      </c>
      <c r="D31" s="10" t="inlineStr">
        <is>
          <t>input</t>
        </is>
      </c>
      <c r="E31" s="10" t="inlineStr">
        <is>
          <t>sponsors</t>
        </is>
      </c>
      <c r="F31" s="10" t="inlineStr">
        <is>
          <t>increase</t>
        </is>
      </c>
      <c r="G31" s="10" t="inlineStr">
        <is>
          <t>cumulative</t>
        </is>
      </c>
      <c r="H31" s="10" t="n">
        <v>0</v>
      </c>
      <c r="I31" s="10" t="n">
        <v>12</v>
      </c>
      <c r="J31" s="12" t="n"/>
      <c r="K31" s="10" t="inlineStr">
        <is>
          <t>monthly</t>
        </is>
      </c>
      <c r="L31" s="10" t="inlineStr">
        <is>
          <t>Partnership agreements</t>
        </is>
      </c>
      <c r="M31" s="10" t="inlineStr">
        <is>
          <t>No</t>
        </is>
      </c>
      <c r="N31" s="10" t="inlineStr">
        <is>
          <t>external</t>
        </is>
      </c>
      <c r="O31" s="10" t="n"/>
      <c r="P31" s="10" t="n"/>
      <c r="Q31" s="14">
        <f>IFERROR(INDEX(Initiatives!$B$2:$B$500,MATCH(A31,Initiatives!$A$2:$A$500,0)),"")</f>
        <v/>
      </c>
    </row>
    <row r="32">
      <c r="A32" s="10" t="inlineStr">
        <is>
          <t>Global News Summit 2026</t>
        </is>
      </c>
      <c r="B32" s="3" t="inlineStr">
        <is>
          <t>Partnerships started after events</t>
        </is>
      </c>
      <c r="C32" s="3" t="inlineStr">
        <is>
          <t>Collaborations between attendees reported in follow-up surveys (from this year's roadshow and meet-ups).</t>
        </is>
      </c>
      <c r="D32" s="10" t="inlineStr">
        <is>
          <t>outcome</t>
        </is>
      </c>
      <c r="E32" s="10" t="inlineStr">
        <is>
          <t>partnerships</t>
        </is>
      </c>
      <c r="F32" s="10" t="inlineStr">
        <is>
          <t>increase</t>
        </is>
      </c>
      <c r="G32" s="10" t="inlineStr">
        <is>
          <t>cumulative</t>
        </is>
      </c>
      <c r="H32" s="10" t="n">
        <v>0</v>
      </c>
      <c r="I32" s="10" t="n">
        <v>30</v>
      </c>
      <c r="J32" s="12" t="n"/>
      <c r="K32" s="10" t="inlineStr">
        <is>
          <t>monthly</t>
        </is>
      </c>
      <c r="L32" s="10" t="inlineStr">
        <is>
          <t>Follow-up survey</t>
        </is>
      </c>
      <c r="M32" s="10" t="inlineStr">
        <is>
          <t>Yes</t>
        </is>
      </c>
      <c r="N32" s="10" t="inlineStr">
        <is>
          <t>external</t>
        </is>
      </c>
      <c r="O32" s="10" t="n"/>
      <c r="P32" s="10" t="n"/>
      <c r="Q32" s="14">
        <f>IFERROR(INDEX(Initiatives!$B$2:$B$500,MATCH(A32,Initiatives!$A$2:$A$500,0)),"")</f>
        <v/>
      </c>
    </row>
    <row r="33">
      <c r="A33" s="10" t="inlineStr">
        <is>
          <t>Global News Summit 2026</t>
        </is>
      </c>
      <c r="B33" s="3" t="inlineStr">
        <is>
          <t>Attendee satisfaction</t>
        </is>
      </c>
      <c r="C33" s="3" t="inlineStr">
        <is>
          <t>Average rating of programme events this year.</t>
        </is>
      </c>
      <c r="D33" s="10" t="inlineStr">
        <is>
          <t>outcome</t>
        </is>
      </c>
      <c r="E33" s="10" t="inlineStr">
        <is>
          <t>score (1-10)</t>
        </is>
      </c>
      <c r="F33" s="10" t="inlineStr">
        <is>
          <t>increase</t>
        </is>
      </c>
      <c r="G33" s="10" t="inlineStr">
        <is>
          <t>point</t>
        </is>
      </c>
      <c r="H33" s="10" t="n">
        <v>7.5</v>
      </c>
      <c r="I33" s="10" t="n">
        <v>8.5</v>
      </c>
      <c r="J33" s="12" t="n"/>
      <c r="K33" s="10" t="inlineStr">
        <is>
          <t>quarterly</t>
        </is>
      </c>
      <c r="L33" s="10" t="inlineStr">
        <is>
          <t>Event feedback forms</t>
        </is>
      </c>
      <c r="M33" s="10" t="inlineStr">
        <is>
          <t>No</t>
        </is>
      </c>
      <c r="N33" s="10" t="inlineStr">
        <is>
          <t>external</t>
        </is>
      </c>
      <c r="O33" s="10" t="n"/>
      <c r="P33" s="10" t="n"/>
      <c r="Q33" s="14">
        <f>IFERROR(INDEX(Initiatives!$B$2:$B$500,MATCH(A33,Initiatives!$A$2:$A$500,0)),"")</f>
        <v/>
      </c>
    </row>
    <row r="34">
      <c r="A34" s="10" t="inlineStr">
        <is>
          <t>Lunch &amp; Learn series (internal)</t>
        </is>
      </c>
      <c r="B34" s="3" t="inlineStr">
        <is>
          <t>Sessions held</t>
        </is>
      </c>
      <c r="C34" s="3" t="inlineStr">
        <is>
          <t>Lunch &amp; Learn sessions delivered.</t>
        </is>
      </c>
      <c r="D34" s="10" t="inlineStr">
        <is>
          <t>activity</t>
        </is>
      </c>
      <c r="E34" s="10" t="inlineStr">
        <is>
          <t>sessions</t>
        </is>
      </c>
      <c r="F34" s="10" t="inlineStr">
        <is>
          <t>increase</t>
        </is>
      </c>
      <c r="G34" s="10" t="inlineStr">
        <is>
          <t>cumulative</t>
        </is>
      </c>
      <c r="H34" s="10" t="n">
        <v>0</v>
      </c>
      <c r="I34" s="10" t="n">
        <v>20</v>
      </c>
      <c r="J34" s="12" t="n"/>
      <c r="K34" s="10" t="inlineStr">
        <is>
          <t>monthly</t>
        </is>
      </c>
      <c r="L34" s="10" t="inlineStr">
        <is>
          <t>Events calendar</t>
        </is>
      </c>
      <c r="M34" s="10" t="inlineStr">
        <is>
          <t>No</t>
        </is>
      </c>
      <c r="N34" s="10" t="inlineStr">
        <is>
          <t>internal</t>
        </is>
      </c>
      <c r="O34" s="10" t="n"/>
      <c r="P34" s="10" t="n"/>
      <c r="Q34" s="14">
        <f>IFERROR(INDEX(Initiatives!$B$2:$B$500,MATCH(A34,Initiatives!$A$2:$A$500,0)),"")</f>
        <v/>
      </c>
    </row>
    <row r="35">
      <c r="A35" s="10" t="inlineStr">
        <is>
          <t>Lunch &amp; Learn series (internal)</t>
        </is>
      </c>
      <c r="B35" s="3" t="inlineStr">
        <is>
          <t>Colleague attendances</t>
        </is>
      </c>
      <c r="C35" s="3" t="inlineStr">
        <is>
          <t>Total attendances, in person and online.</t>
        </is>
      </c>
      <c r="D35" s="10" t="inlineStr">
        <is>
          <t>output</t>
        </is>
      </c>
      <c r="E35" s="10" t="inlineStr">
        <is>
          <t>attendances</t>
        </is>
      </c>
      <c r="F35" s="10" t="inlineStr">
        <is>
          <t>increase</t>
        </is>
      </c>
      <c r="G35" s="10" t="inlineStr">
        <is>
          <t>cumulative</t>
        </is>
      </c>
      <c r="H35" s="10" t="n">
        <v>0</v>
      </c>
      <c r="I35" s="10" t="n">
        <v>1200</v>
      </c>
      <c r="J35" s="12" t="n"/>
      <c r="K35" s="10" t="inlineStr">
        <is>
          <t>monthly</t>
        </is>
      </c>
      <c r="L35" s="10" t="inlineStr">
        <is>
          <t>Registration list</t>
        </is>
      </c>
      <c r="M35" s="10" t="inlineStr">
        <is>
          <t>Yes</t>
        </is>
      </c>
      <c r="N35" s="10" t="inlineStr">
        <is>
          <t>internal</t>
        </is>
      </c>
      <c r="O35" s="10" t="n"/>
      <c r="P35" s="10" t="n"/>
      <c r="Q35" s="14">
        <f>IFERROR(INDEX(Initiatives!$B$2:$B$500,MATCH(A35,Initiatives!$A$2:$A$500,0)),"")</f>
        <v/>
      </c>
    </row>
    <row r="36">
      <c r="A36" s="10" t="inlineStr">
        <is>
          <t>Lunch &amp; Learn series (internal)</t>
        </is>
      </c>
      <c r="B36" s="3" t="inlineStr">
        <is>
          <t>Attendees who understand the programme better</t>
        </is>
      </c>
      <c r="C36" s="3" t="inlineStr">
        <is>
          <t>Share of attendees agreeing they understand the programme better after a session.</t>
        </is>
      </c>
      <c r="D36" s="10" t="inlineStr">
        <is>
          <t>outcome</t>
        </is>
      </c>
      <c r="E36" s="10" t="inlineStr">
        <is>
          <t>%</t>
        </is>
      </c>
      <c r="F36" s="10" t="inlineStr">
        <is>
          <t>increase</t>
        </is>
      </c>
      <c r="G36" s="10" t="inlineStr">
        <is>
          <t>point</t>
        </is>
      </c>
      <c r="H36" s="10" t="n">
        <v>0</v>
      </c>
      <c r="I36" s="10" t="n">
        <v>80</v>
      </c>
      <c r="J36" s="12" t="n"/>
      <c r="K36" s="10" t="inlineStr">
        <is>
          <t>quarterly</t>
        </is>
      </c>
      <c r="L36" s="10" t="inlineStr">
        <is>
          <t>Session feedback</t>
        </is>
      </c>
      <c r="M36" s="10" t="inlineStr">
        <is>
          <t>No</t>
        </is>
      </c>
      <c r="N36" s="10" t="inlineStr">
        <is>
          <t>internal</t>
        </is>
      </c>
      <c r="O36" s="10" t="n"/>
      <c r="P36" s="10" t="n"/>
      <c r="Q36" s="14">
        <f>IFERROR(INDEX(Initiatives!$B$2:$B$500,MATCH(A36,Initiatives!$A$2:$A$500,0)),"")</f>
        <v/>
      </c>
    </row>
    <row r="37">
      <c r="A37" s="10" t="inlineStr">
        <is>
          <t>Policy Engagement on Local News</t>
        </is>
      </c>
      <c r="B37" s="3" t="inlineStr">
        <is>
          <t>Policymaker briefings held</t>
        </is>
      </c>
      <c r="C37" s="3" t="inlineStr">
        <is>
          <t>Meetings or calls with officials where programme evidence was presented.</t>
        </is>
      </c>
      <c r="D37" s="10" t="inlineStr">
        <is>
          <t>activity</t>
        </is>
      </c>
      <c r="E37" s="10" t="inlineStr">
        <is>
          <t>briefings</t>
        </is>
      </c>
      <c r="F37" s="10" t="inlineStr">
        <is>
          <t>increase</t>
        </is>
      </c>
      <c r="G37" s="10" t="inlineStr">
        <is>
          <t>cumulative</t>
        </is>
      </c>
      <c r="H37" s="10" t="n">
        <v>0</v>
      </c>
      <c r="I37" s="10" t="n">
        <v>24</v>
      </c>
      <c r="J37" s="12" t="n"/>
      <c r="K37" s="10" t="inlineStr">
        <is>
          <t>monthly</t>
        </is>
      </c>
      <c r="L37" s="10" t="inlineStr">
        <is>
          <t>GAPP contact log</t>
        </is>
      </c>
      <c r="M37" s="10" t="inlineStr">
        <is>
          <t>No</t>
        </is>
      </c>
      <c r="N37" s="10" t="inlineStr">
        <is>
          <t>external</t>
        </is>
      </c>
      <c r="O37" s="10" t="n"/>
      <c r="P37" s="10" t="n"/>
      <c r="Q37" s="14">
        <f>IFERROR(INDEX(Initiatives!$B$2:$B$500,MATCH(A37,Initiatives!$A$2:$A$500,0)),"")</f>
        <v/>
      </c>
    </row>
    <row r="38">
      <c r="A38" s="10" t="inlineStr">
        <is>
          <t>Policy Engagement on Local News</t>
        </is>
      </c>
      <c r="B38" s="3" t="inlineStr">
        <is>
          <t>Written submissions to consultations</t>
        </is>
      </c>
      <c r="C38" s="3" t="inlineStr">
        <is>
          <t>Formal responses to government or regulator consultations.</t>
        </is>
      </c>
      <c r="D38" s="10" t="inlineStr">
        <is>
          <t>output</t>
        </is>
      </c>
      <c r="E38" s="10" t="inlineStr">
        <is>
          <t>submissions</t>
        </is>
      </c>
      <c r="F38" s="10" t="inlineStr">
        <is>
          <t>increase</t>
        </is>
      </c>
      <c r="G38" s="10" t="inlineStr">
        <is>
          <t>cumulative</t>
        </is>
      </c>
      <c r="H38" s="10" t="n">
        <v>0</v>
      </c>
      <c r="I38" s="10" t="n">
        <v>6</v>
      </c>
      <c r="J38" s="12" t="n"/>
      <c r="K38" s="10" t="inlineStr">
        <is>
          <t>monthly</t>
        </is>
      </c>
      <c r="L38" s="10" t="inlineStr">
        <is>
          <t>GAPP tracker</t>
        </is>
      </c>
      <c r="M38" s="10" t="inlineStr">
        <is>
          <t>No</t>
        </is>
      </c>
      <c r="N38" s="10" t="inlineStr">
        <is>
          <t>external</t>
        </is>
      </c>
      <c r="O38" s="10" t="inlineStr">
        <is>
          <t>Programme evidence cited in policy documents</t>
        </is>
      </c>
      <c r="P38" s="10" t="n"/>
      <c r="Q38" s="14">
        <f>IFERROR(INDEX(Initiatives!$B$2:$B$500,MATCH(A38,Initiatives!$A$2:$A$500,0)),"")</f>
        <v/>
      </c>
    </row>
    <row r="39">
      <c r="A39" s="10" t="inlineStr">
        <is>
          <t>Policy Engagement on Local News</t>
        </is>
      </c>
      <c r="B39" s="3" t="inlineStr">
        <is>
          <t>Policymakers engaged</t>
        </is>
      </c>
      <c r="C39" s="3" t="inlineStr">
        <is>
          <t>Unique officials and elected representatives engaged.</t>
        </is>
      </c>
      <c r="D39" s="10" t="inlineStr">
        <is>
          <t>output</t>
        </is>
      </c>
      <c r="E39" s="10" t="inlineStr">
        <is>
          <t>people</t>
        </is>
      </c>
      <c r="F39" s="10" t="inlineStr">
        <is>
          <t>increase</t>
        </is>
      </c>
      <c r="G39" s="10" t="inlineStr">
        <is>
          <t>cumulative</t>
        </is>
      </c>
      <c r="H39" s="10" t="n">
        <v>0</v>
      </c>
      <c r="I39" s="10" t="n">
        <v>60</v>
      </c>
      <c r="J39" s="12" t="n"/>
      <c r="K39" s="10" t="inlineStr">
        <is>
          <t>monthly</t>
        </is>
      </c>
      <c r="L39" s="10" t="inlineStr">
        <is>
          <t>GAPP contact log</t>
        </is>
      </c>
      <c r="M39" s="10" t="inlineStr">
        <is>
          <t>Yes</t>
        </is>
      </c>
      <c r="N39" s="10" t="inlineStr">
        <is>
          <t>external</t>
        </is>
      </c>
      <c r="O39" s="10" t="n"/>
      <c r="P39" s="10" t="n"/>
      <c r="Q39" s="14">
        <f>IFERROR(INDEX(Initiatives!$B$2:$B$500,MATCH(A39,Initiatives!$A$2:$A$500,0)),"")</f>
        <v/>
      </c>
    </row>
    <row r="40">
      <c r="A40" s="10" t="inlineStr">
        <is>
          <t>Policy Engagement on Local News</t>
        </is>
      </c>
      <c r="B40" s="3" t="inlineStr">
        <is>
          <t>Programme evidence cited in policy documents</t>
        </is>
      </c>
      <c r="C40" s="3" t="inlineStr">
        <is>
          <t>Policy documents, speeches or reports citing programme data or case studies.</t>
        </is>
      </c>
      <c r="D40" s="10" t="inlineStr">
        <is>
          <t>outcome</t>
        </is>
      </c>
      <c r="E40" s="10" t="inlineStr">
        <is>
          <t>citations</t>
        </is>
      </c>
      <c r="F40" s="10" t="inlineStr">
        <is>
          <t>increase</t>
        </is>
      </c>
      <c r="G40" s="10" t="inlineStr">
        <is>
          <t>cumulative</t>
        </is>
      </c>
      <c r="H40" s="10" t="n">
        <v>0</v>
      </c>
      <c r="I40" s="10" t="n">
        <v>10</v>
      </c>
      <c r="J40" s="12" t="n"/>
      <c r="K40" s="10" t="inlineStr">
        <is>
          <t>monthly</t>
        </is>
      </c>
      <c r="L40" s="10" t="inlineStr">
        <is>
          <t>Policy monitoring</t>
        </is>
      </c>
      <c r="M40" s="10" t="inlineStr">
        <is>
          <t>Yes</t>
        </is>
      </c>
      <c r="N40" s="10" t="inlineStr">
        <is>
          <t>external</t>
        </is>
      </c>
      <c r="O40" s="10" t="n"/>
      <c r="P40" s="10" t="n"/>
      <c r="Q40" s="14">
        <f>IFERROR(INDEX(Initiatives!$B$2:$B$500,MATCH(A40,Initiatives!$A$2:$A$500,0)),"")</f>
        <v/>
      </c>
    </row>
    <row r="41">
      <c r="A41" s="10" t="inlineStr">
        <is>
          <t>Policy Engagement on Local News</t>
        </is>
      </c>
      <c r="B41" s="3" t="inlineStr">
        <is>
          <t>Follow-up requests from officials</t>
        </is>
      </c>
      <c r="C41" s="3" t="inlineStr">
        <is>
          <t>Requests from officials for more data, briefings or visits.</t>
        </is>
      </c>
      <c r="D41" s="10" t="inlineStr">
        <is>
          <t>outcome</t>
        </is>
      </c>
      <c r="E41" s="10" t="inlineStr">
        <is>
          <t>requests</t>
        </is>
      </c>
      <c r="F41" s="10" t="inlineStr">
        <is>
          <t>increase</t>
        </is>
      </c>
      <c r="G41" s="10" t="inlineStr">
        <is>
          <t>cumulative</t>
        </is>
      </c>
      <c r="H41" s="10" t="n">
        <v>0</v>
      </c>
      <c r="I41" s="10" t="n">
        <v>20</v>
      </c>
      <c r="J41" s="12" t="n"/>
      <c r="K41" s="10" t="inlineStr">
        <is>
          <t>monthly</t>
        </is>
      </c>
      <c r="L41" s="10" t="inlineStr">
        <is>
          <t>GAPP contact log</t>
        </is>
      </c>
      <c r="M41" s="10" t="inlineStr">
        <is>
          <t>No</t>
        </is>
      </c>
      <c r="N41" s="10" t="inlineStr">
        <is>
          <t>external</t>
        </is>
      </c>
      <c r="O41" s="10" t="n"/>
      <c r="P41" s="10" t="n"/>
      <c r="Q41" s="14">
        <f>IFERROR(INDEX(Initiatives!$B$2:$B$500,MATCH(A41,Initiatives!$A$2:$A$500,0)),"")</f>
        <v/>
      </c>
    </row>
    <row r="42">
      <c r="Q42" s="14">
        <f>IFERROR(INDEX(Initiatives!$B$2:$B$500,MATCH(A42,Initiatives!$A$2:$A$500,0)),"")</f>
        <v/>
      </c>
    </row>
    <row r="43">
      <c r="Q43" s="14">
        <f>IFERROR(INDEX(Initiatives!$B$2:$B$500,MATCH(A43,Initiatives!$A$2:$A$500,0)),"")</f>
        <v/>
      </c>
    </row>
    <row r="44">
      <c r="Q44" s="14">
        <f>IFERROR(INDEX(Initiatives!$B$2:$B$500,MATCH(A44,Initiatives!$A$2:$A$500,0)),"")</f>
        <v/>
      </c>
    </row>
    <row r="45">
      <c r="Q45" s="14">
        <f>IFERROR(INDEX(Initiatives!$B$2:$B$500,MATCH(A45,Initiatives!$A$2:$A$500,0)),"")</f>
        <v/>
      </c>
    </row>
    <row r="46">
      <c r="Q46" s="14">
        <f>IFERROR(INDEX(Initiatives!$B$2:$B$500,MATCH(A46,Initiatives!$A$2:$A$500,0)),"")</f>
        <v/>
      </c>
    </row>
    <row r="47">
      <c r="Q47" s="14">
        <f>IFERROR(INDEX(Initiatives!$B$2:$B$500,MATCH(A47,Initiatives!$A$2:$A$500,0)),"")</f>
        <v/>
      </c>
    </row>
    <row r="48">
      <c r="Q48" s="14">
        <f>IFERROR(INDEX(Initiatives!$B$2:$B$500,MATCH(A48,Initiatives!$A$2:$A$500,0)),"")</f>
        <v/>
      </c>
    </row>
    <row r="49">
      <c r="Q49" s="14">
        <f>IFERROR(INDEX(Initiatives!$B$2:$B$500,MATCH(A49,Initiatives!$A$2:$A$500,0)),"")</f>
        <v/>
      </c>
    </row>
    <row r="50">
      <c r="Q50" s="14">
        <f>IFERROR(INDEX(Initiatives!$B$2:$B$500,MATCH(A50,Initiatives!$A$2:$A$500,0)),"")</f>
        <v/>
      </c>
    </row>
    <row r="51">
      <c r="Q51" s="14">
        <f>IFERROR(INDEX(Initiatives!$B$2:$B$500,MATCH(A51,Initiatives!$A$2:$A$500,0)),"")</f>
        <v/>
      </c>
    </row>
    <row r="52">
      <c r="Q52" s="14">
        <f>IFERROR(INDEX(Initiatives!$B$2:$B$500,MATCH(A52,Initiatives!$A$2:$A$500,0)),"")</f>
        <v/>
      </c>
    </row>
    <row r="53">
      <c r="Q53" s="14">
        <f>IFERROR(INDEX(Initiatives!$B$2:$B$500,MATCH(A53,Initiatives!$A$2:$A$500,0)),"")</f>
        <v/>
      </c>
    </row>
    <row r="54">
      <c r="Q54" s="14">
        <f>IFERROR(INDEX(Initiatives!$B$2:$B$500,MATCH(A54,Initiatives!$A$2:$A$500,0)),"")</f>
        <v/>
      </c>
    </row>
    <row r="55">
      <c r="Q55" s="14">
        <f>IFERROR(INDEX(Initiatives!$B$2:$B$500,MATCH(A55,Initiatives!$A$2:$A$500,0)),"")</f>
        <v/>
      </c>
    </row>
    <row r="56">
      <c r="Q56" s="14">
        <f>IFERROR(INDEX(Initiatives!$B$2:$B$500,MATCH(A56,Initiatives!$A$2:$A$500,0)),"")</f>
        <v/>
      </c>
    </row>
    <row r="57">
      <c r="Q57" s="14">
        <f>IFERROR(INDEX(Initiatives!$B$2:$B$500,MATCH(A57,Initiatives!$A$2:$A$500,0)),"")</f>
        <v/>
      </c>
    </row>
    <row r="58">
      <c r="Q58" s="14">
        <f>IFERROR(INDEX(Initiatives!$B$2:$B$500,MATCH(A58,Initiatives!$A$2:$A$500,0)),"")</f>
        <v/>
      </c>
    </row>
    <row r="59">
      <c r="Q59" s="14">
        <f>IFERROR(INDEX(Initiatives!$B$2:$B$500,MATCH(A59,Initiatives!$A$2:$A$500,0)),"")</f>
        <v/>
      </c>
    </row>
    <row r="60">
      <c r="Q60" s="14">
        <f>IFERROR(INDEX(Initiatives!$B$2:$B$500,MATCH(A60,Initiatives!$A$2:$A$500,0)),"")</f>
        <v/>
      </c>
    </row>
    <row r="61">
      <c r="Q61" s="14">
        <f>IFERROR(INDEX(Initiatives!$B$2:$B$500,MATCH(A61,Initiatives!$A$2:$A$500,0)),"")</f>
        <v/>
      </c>
    </row>
    <row r="62">
      <c r="Q62" s="14">
        <f>IFERROR(INDEX(Initiatives!$B$2:$B$500,MATCH(A62,Initiatives!$A$2:$A$500,0)),"")</f>
        <v/>
      </c>
    </row>
    <row r="63">
      <c r="Q63" s="14">
        <f>IFERROR(INDEX(Initiatives!$B$2:$B$500,MATCH(A63,Initiatives!$A$2:$A$500,0)),"")</f>
        <v/>
      </c>
    </row>
    <row r="64">
      <c r="Q64" s="14">
        <f>IFERROR(INDEX(Initiatives!$B$2:$B$500,MATCH(A64,Initiatives!$A$2:$A$500,0)),"")</f>
        <v/>
      </c>
    </row>
    <row r="65">
      <c r="Q65" s="14">
        <f>IFERROR(INDEX(Initiatives!$B$2:$B$500,MATCH(A65,Initiatives!$A$2:$A$500,0)),"")</f>
        <v/>
      </c>
    </row>
    <row r="66">
      <c r="Q66" s="14">
        <f>IFERROR(INDEX(Initiatives!$B$2:$B$500,MATCH(A66,Initiatives!$A$2:$A$500,0)),"")</f>
        <v/>
      </c>
    </row>
    <row r="67">
      <c r="Q67" s="14">
        <f>IFERROR(INDEX(Initiatives!$B$2:$B$500,MATCH(A67,Initiatives!$A$2:$A$500,0)),"")</f>
        <v/>
      </c>
    </row>
    <row r="68">
      <c r="Q68" s="14">
        <f>IFERROR(INDEX(Initiatives!$B$2:$B$500,MATCH(A68,Initiatives!$A$2:$A$500,0)),"")</f>
        <v/>
      </c>
    </row>
    <row r="69">
      <c r="Q69" s="14">
        <f>IFERROR(INDEX(Initiatives!$B$2:$B$500,MATCH(A69,Initiatives!$A$2:$A$500,0)),"")</f>
        <v/>
      </c>
    </row>
    <row r="70">
      <c r="Q70" s="14">
        <f>IFERROR(INDEX(Initiatives!$B$2:$B$500,MATCH(A70,Initiatives!$A$2:$A$500,0)),"")</f>
        <v/>
      </c>
    </row>
    <row r="71">
      <c r="Q71" s="14">
        <f>IFERROR(INDEX(Initiatives!$B$2:$B$500,MATCH(A71,Initiatives!$A$2:$A$500,0)),"")</f>
        <v/>
      </c>
    </row>
    <row r="72">
      <c r="Q72" s="14">
        <f>IFERROR(INDEX(Initiatives!$B$2:$B$500,MATCH(A72,Initiatives!$A$2:$A$500,0)),"")</f>
        <v/>
      </c>
    </row>
    <row r="73">
      <c r="Q73" s="14">
        <f>IFERROR(INDEX(Initiatives!$B$2:$B$500,MATCH(A73,Initiatives!$A$2:$A$500,0)),"")</f>
        <v/>
      </c>
    </row>
    <row r="74">
      <c r="Q74" s="14">
        <f>IFERROR(INDEX(Initiatives!$B$2:$B$500,MATCH(A74,Initiatives!$A$2:$A$500,0)),"")</f>
        <v/>
      </c>
    </row>
    <row r="75">
      <c r="Q75" s="14">
        <f>IFERROR(INDEX(Initiatives!$B$2:$B$500,MATCH(A75,Initiatives!$A$2:$A$500,0)),"")</f>
        <v/>
      </c>
    </row>
    <row r="76">
      <c r="Q76" s="14">
        <f>IFERROR(INDEX(Initiatives!$B$2:$B$500,MATCH(A76,Initiatives!$A$2:$A$500,0)),"")</f>
        <v/>
      </c>
    </row>
    <row r="77">
      <c r="Q77" s="14">
        <f>IFERROR(INDEX(Initiatives!$B$2:$B$500,MATCH(A77,Initiatives!$A$2:$A$500,0)),"")</f>
        <v/>
      </c>
    </row>
    <row r="78">
      <c r="Q78" s="14">
        <f>IFERROR(INDEX(Initiatives!$B$2:$B$500,MATCH(A78,Initiatives!$A$2:$A$500,0)),"")</f>
        <v/>
      </c>
    </row>
    <row r="79">
      <c r="Q79" s="14">
        <f>IFERROR(INDEX(Initiatives!$B$2:$B$500,MATCH(A79,Initiatives!$A$2:$A$500,0)),"")</f>
        <v/>
      </c>
    </row>
    <row r="80">
      <c r="Q80" s="14">
        <f>IFERROR(INDEX(Initiatives!$B$2:$B$500,MATCH(A80,Initiatives!$A$2:$A$500,0)),"")</f>
        <v/>
      </c>
    </row>
    <row r="81">
      <c r="Q81" s="14">
        <f>IFERROR(INDEX(Initiatives!$B$2:$B$500,MATCH(A81,Initiatives!$A$2:$A$500,0)),"")</f>
        <v/>
      </c>
    </row>
    <row r="82">
      <c r="Q82" s="14">
        <f>IFERROR(INDEX(Initiatives!$B$2:$B$500,MATCH(A82,Initiatives!$A$2:$A$500,0)),"")</f>
        <v/>
      </c>
    </row>
    <row r="83">
      <c r="Q83" s="14">
        <f>IFERROR(INDEX(Initiatives!$B$2:$B$500,MATCH(A83,Initiatives!$A$2:$A$500,0)),"")</f>
        <v/>
      </c>
    </row>
    <row r="84">
      <c r="Q84" s="14">
        <f>IFERROR(INDEX(Initiatives!$B$2:$B$500,MATCH(A84,Initiatives!$A$2:$A$500,0)),"")</f>
        <v/>
      </c>
    </row>
    <row r="85">
      <c r="Q85" s="14">
        <f>IFERROR(INDEX(Initiatives!$B$2:$B$500,MATCH(A85,Initiatives!$A$2:$A$500,0)),"")</f>
        <v/>
      </c>
    </row>
    <row r="86">
      <c r="Q86" s="14">
        <f>IFERROR(INDEX(Initiatives!$B$2:$B$500,MATCH(A86,Initiatives!$A$2:$A$500,0)),"")</f>
        <v/>
      </c>
    </row>
    <row r="87">
      <c r="Q87" s="14">
        <f>IFERROR(INDEX(Initiatives!$B$2:$B$500,MATCH(A87,Initiatives!$A$2:$A$500,0)),"")</f>
        <v/>
      </c>
    </row>
    <row r="88">
      <c r="Q88" s="14">
        <f>IFERROR(INDEX(Initiatives!$B$2:$B$500,MATCH(A88,Initiatives!$A$2:$A$500,0)),"")</f>
        <v/>
      </c>
    </row>
    <row r="89">
      <c r="Q89" s="14">
        <f>IFERROR(INDEX(Initiatives!$B$2:$B$500,MATCH(A89,Initiatives!$A$2:$A$500,0)),"")</f>
        <v/>
      </c>
    </row>
    <row r="90">
      <c r="Q90" s="14">
        <f>IFERROR(INDEX(Initiatives!$B$2:$B$500,MATCH(A90,Initiatives!$A$2:$A$500,0)),"")</f>
        <v/>
      </c>
    </row>
    <row r="91">
      <c r="Q91" s="14">
        <f>IFERROR(INDEX(Initiatives!$B$2:$B$500,MATCH(A91,Initiatives!$A$2:$A$500,0)),"")</f>
        <v/>
      </c>
    </row>
    <row r="92">
      <c r="Q92" s="14">
        <f>IFERROR(INDEX(Initiatives!$B$2:$B$500,MATCH(A92,Initiatives!$A$2:$A$500,0)),"")</f>
        <v/>
      </c>
    </row>
    <row r="93">
      <c r="Q93" s="14">
        <f>IFERROR(INDEX(Initiatives!$B$2:$B$500,MATCH(A93,Initiatives!$A$2:$A$500,0)),"")</f>
        <v/>
      </c>
    </row>
    <row r="94">
      <c r="Q94" s="14">
        <f>IFERROR(INDEX(Initiatives!$B$2:$B$500,MATCH(A94,Initiatives!$A$2:$A$500,0)),"")</f>
        <v/>
      </c>
    </row>
    <row r="95">
      <c r="Q95" s="14">
        <f>IFERROR(INDEX(Initiatives!$B$2:$B$500,MATCH(A95,Initiatives!$A$2:$A$500,0)),"")</f>
        <v/>
      </c>
    </row>
    <row r="96">
      <c r="Q96" s="14">
        <f>IFERROR(INDEX(Initiatives!$B$2:$B$500,MATCH(A96,Initiatives!$A$2:$A$500,0)),"")</f>
        <v/>
      </c>
    </row>
    <row r="97">
      <c r="Q97" s="14">
        <f>IFERROR(INDEX(Initiatives!$B$2:$B$500,MATCH(A97,Initiatives!$A$2:$A$500,0)),"")</f>
        <v/>
      </c>
    </row>
    <row r="98">
      <c r="Q98" s="14">
        <f>IFERROR(INDEX(Initiatives!$B$2:$B$500,MATCH(A98,Initiatives!$A$2:$A$500,0)),"")</f>
        <v/>
      </c>
    </row>
    <row r="99">
      <c r="Q99" s="14">
        <f>IFERROR(INDEX(Initiatives!$B$2:$B$500,MATCH(A99,Initiatives!$A$2:$A$500,0)),"")</f>
        <v/>
      </c>
    </row>
    <row r="100">
      <c r="Q100" s="14">
        <f>IFERROR(INDEX(Initiatives!$B$2:$B$500,MATCH(A100,Initiatives!$A$2:$A$500,0)),"")</f>
        <v/>
      </c>
    </row>
    <row r="101">
      <c r="Q101" s="14">
        <f>IFERROR(INDEX(Initiatives!$B$2:$B$500,MATCH(A101,Initiatives!$A$2:$A$500,0)),"")</f>
        <v/>
      </c>
    </row>
    <row r="102">
      <c r="Q102" s="14">
        <f>IFERROR(INDEX(Initiatives!$B$2:$B$500,MATCH(A102,Initiatives!$A$2:$A$500,0)),"")</f>
        <v/>
      </c>
    </row>
    <row r="103">
      <c r="Q103" s="14">
        <f>IFERROR(INDEX(Initiatives!$B$2:$B$500,MATCH(A103,Initiatives!$A$2:$A$500,0)),"")</f>
        <v/>
      </c>
    </row>
    <row r="104">
      <c r="Q104" s="14">
        <f>IFERROR(INDEX(Initiatives!$B$2:$B$500,MATCH(A104,Initiatives!$A$2:$A$500,0)),"")</f>
        <v/>
      </c>
    </row>
    <row r="105">
      <c r="Q105" s="14">
        <f>IFERROR(INDEX(Initiatives!$B$2:$B$500,MATCH(A105,Initiatives!$A$2:$A$500,0)),"")</f>
        <v/>
      </c>
    </row>
    <row r="106">
      <c r="Q106" s="14">
        <f>IFERROR(INDEX(Initiatives!$B$2:$B$500,MATCH(A106,Initiatives!$A$2:$A$500,0)),"")</f>
        <v/>
      </c>
    </row>
    <row r="107">
      <c r="Q107" s="14">
        <f>IFERROR(INDEX(Initiatives!$B$2:$B$500,MATCH(A107,Initiatives!$A$2:$A$500,0)),"")</f>
        <v/>
      </c>
    </row>
    <row r="108">
      <c r="Q108" s="14">
        <f>IFERROR(INDEX(Initiatives!$B$2:$B$500,MATCH(A108,Initiatives!$A$2:$A$500,0)),"")</f>
        <v/>
      </c>
    </row>
    <row r="109">
      <c r="Q109" s="14">
        <f>IFERROR(INDEX(Initiatives!$B$2:$B$500,MATCH(A109,Initiatives!$A$2:$A$500,0)),"")</f>
        <v/>
      </c>
    </row>
    <row r="110">
      <c r="Q110" s="14">
        <f>IFERROR(INDEX(Initiatives!$B$2:$B$500,MATCH(A110,Initiatives!$A$2:$A$500,0)),"")</f>
        <v/>
      </c>
    </row>
    <row r="111">
      <c r="Q111" s="14">
        <f>IFERROR(INDEX(Initiatives!$B$2:$B$500,MATCH(A111,Initiatives!$A$2:$A$500,0)),"")</f>
        <v/>
      </c>
    </row>
    <row r="112">
      <c r="Q112" s="14">
        <f>IFERROR(INDEX(Initiatives!$B$2:$B$500,MATCH(A112,Initiatives!$A$2:$A$500,0)),"")</f>
        <v/>
      </c>
    </row>
    <row r="113">
      <c r="Q113" s="14">
        <f>IFERROR(INDEX(Initiatives!$B$2:$B$500,MATCH(A113,Initiatives!$A$2:$A$500,0)),"")</f>
        <v/>
      </c>
    </row>
    <row r="114">
      <c r="Q114" s="14">
        <f>IFERROR(INDEX(Initiatives!$B$2:$B$500,MATCH(A114,Initiatives!$A$2:$A$500,0)),"")</f>
        <v/>
      </c>
    </row>
    <row r="115">
      <c r="Q115" s="14">
        <f>IFERROR(INDEX(Initiatives!$B$2:$B$500,MATCH(A115,Initiatives!$A$2:$A$500,0)),"")</f>
        <v/>
      </c>
    </row>
    <row r="116">
      <c r="Q116" s="14">
        <f>IFERROR(INDEX(Initiatives!$B$2:$B$500,MATCH(A116,Initiatives!$A$2:$A$500,0)),"")</f>
        <v/>
      </c>
    </row>
    <row r="117">
      <c r="Q117" s="14">
        <f>IFERROR(INDEX(Initiatives!$B$2:$B$500,MATCH(A117,Initiatives!$A$2:$A$500,0)),"")</f>
        <v/>
      </c>
    </row>
    <row r="118">
      <c r="Q118" s="14">
        <f>IFERROR(INDEX(Initiatives!$B$2:$B$500,MATCH(A118,Initiatives!$A$2:$A$500,0)),"")</f>
        <v/>
      </c>
    </row>
    <row r="119">
      <c r="Q119" s="14">
        <f>IFERROR(INDEX(Initiatives!$B$2:$B$500,MATCH(A119,Initiatives!$A$2:$A$500,0)),"")</f>
        <v/>
      </c>
    </row>
    <row r="120">
      <c r="Q120" s="14">
        <f>IFERROR(INDEX(Initiatives!$B$2:$B$500,MATCH(A120,Initiatives!$A$2:$A$500,0)),"")</f>
        <v/>
      </c>
    </row>
    <row r="121">
      <c r="Q121" s="14">
        <f>IFERROR(INDEX(Initiatives!$B$2:$B$500,MATCH(A121,Initiatives!$A$2:$A$500,0)),"")</f>
        <v/>
      </c>
    </row>
    <row r="122">
      <c r="Q122" s="14">
        <f>IFERROR(INDEX(Initiatives!$B$2:$B$500,MATCH(A122,Initiatives!$A$2:$A$500,0)),"")</f>
        <v/>
      </c>
    </row>
    <row r="123">
      <c r="Q123" s="14">
        <f>IFERROR(INDEX(Initiatives!$B$2:$B$500,MATCH(A123,Initiatives!$A$2:$A$500,0)),"")</f>
        <v/>
      </c>
    </row>
    <row r="124">
      <c r="Q124" s="14">
        <f>IFERROR(INDEX(Initiatives!$B$2:$B$500,MATCH(A124,Initiatives!$A$2:$A$500,0)),"")</f>
        <v/>
      </c>
    </row>
    <row r="125">
      <c r="Q125" s="14">
        <f>IFERROR(INDEX(Initiatives!$B$2:$B$500,MATCH(A125,Initiatives!$A$2:$A$500,0)),"")</f>
        <v/>
      </c>
    </row>
    <row r="126">
      <c r="Q126" s="14">
        <f>IFERROR(INDEX(Initiatives!$B$2:$B$500,MATCH(A126,Initiatives!$A$2:$A$500,0)),"")</f>
        <v/>
      </c>
    </row>
    <row r="127">
      <c r="Q127" s="14">
        <f>IFERROR(INDEX(Initiatives!$B$2:$B$500,MATCH(A127,Initiatives!$A$2:$A$500,0)),"")</f>
        <v/>
      </c>
    </row>
    <row r="128">
      <c r="Q128" s="14">
        <f>IFERROR(INDEX(Initiatives!$B$2:$B$500,MATCH(A128,Initiatives!$A$2:$A$500,0)),"")</f>
        <v/>
      </c>
    </row>
    <row r="129">
      <c r="Q129" s="14">
        <f>IFERROR(INDEX(Initiatives!$B$2:$B$500,MATCH(A129,Initiatives!$A$2:$A$500,0)),"")</f>
        <v/>
      </c>
    </row>
    <row r="130">
      <c r="Q130" s="14">
        <f>IFERROR(INDEX(Initiatives!$B$2:$B$500,MATCH(A130,Initiatives!$A$2:$A$500,0)),"")</f>
        <v/>
      </c>
    </row>
    <row r="131">
      <c r="Q131" s="14">
        <f>IFERROR(INDEX(Initiatives!$B$2:$B$500,MATCH(A131,Initiatives!$A$2:$A$500,0)),"")</f>
        <v/>
      </c>
    </row>
    <row r="132">
      <c r="Q132" s="14">
        <f>IFERROR(INDEX(Initiatives!$B$2:$B$500,MATCH(A132,Initiatives!$A$2:$A$500,0)),"")</f>
        <v/>
      </c>
    </row>
    <row r="133">
      <c r="Q133" s="14">
        <f>IFERROR(INDEX(Initiatives!$B$2:$B$500,MATCH(A133,Initiatives!$A$2:$A$500,0)),"")</f>
        <v/>
      </c>
    </row>
    <row r="134">
      <c r="Q134" s="14">
        <f>IFERROR(INDEX(Initiatives!$B$2:$B$500,MATCH(A134,Initiatives!$A$2:$A$500,0)),"")</f>
        <v/>
      </c>
    </row>
    <row r="135">
      <c r="Q135" s="14">
        <f>IFERROR(INDEX(Initiatives!$B$2:$B$500,MATCH(A135,Initiatives!$A$2:$A$500,0)),"")</f>
        <v/>
      </c>
    </row>
    <row r="136">
      <c r="Q136" s="14">
        <f>IFERROR(INDEX(Initiatives!$B$2:$B$500,MATCH(A136,Initiatives!$A$2:$A$500,0)),"")</f>
        <v/>
      </c>
    </row>
    <row r="137">
      <c r="Q137" s="14">
        <f>IFERROR(INDEX(Initiatives!$B$2:$B$500,MATCH(A137,Initiatives!$A$2:$A$500,0)),"")</f>
        <v/>
      </c>
    </row>
    <row r="138">
      <c r="Q138" s="14">
        <f>IFERROR(INDEX(Initiatives!$B$2:$B$500,MATCH(A138,Initiatives!$A$2:$A$500,0)),"")</f>
        <v/>
      </c>
    </row>
    <row r="139">
      <c r="Q139" s="14">
        <f>IFERROR(INDEX(Initiatives!$B$2:$B$500,MATCH(A139,Initiatives!$A$2:$A$500,0)),"")</f>
        <v/>
      </c>
    </row>
    <row r="140">
      <c r="Q140" s="14">
        <f>IFERROR(INDEX(Initiatives!$B$2:$B$500,MATCH(A140,Initiatives!$A$2:$A$500,0)),"")</f>
        <v/>
      </c>
    </row>
    <row r="141">
      <c r="Q141" s="14">
        <f>IFERROR(INDEX(Initiatives!$B$2:$B$500,MATCH(A141,Initiatives!$A$2:$A$500,0)),"")</f>
        <v/>
      </c>
    </row>
    <row r="142">
      <c r="Q142" s="14">
        <f>IFERROR(INDEX(Initiatives!$B$2:$B$500,MATCH(A142,Initiatives!$A$2:$A$500,0)),"")</f>
        <v/>
      </c>
    </row>
    <row r="143">
      <c r="Q143" s="14">
        <f>IFERROR(INDEX(Initiatives!$B$2:$B$500,MATCH(A143,Initiatives!$A$2:$A$500,0)),"")</f>
        <v/>
      </c>
    </row>
    <row r="144">
      <c r="Q144" s="14">
        <f>IFERROR(INDEX(Initiatives!$B$2:$B$500,MATCH(A144,Initiatives!$A$2:$A$500,0)),"")</f>
        <v/>
      </c>
    </row>
    <row r="145">
      <c r="Q145" s="14">
        <f>IFERROR(INDEX(Initiatives!$B$2:$B$500,MATCH(A145,Initiatives!$A$2:$A$500,0)),"")</f>
        <v/>
      </c>
    </row>
    <row r="146">
      <c r="Q146" s="14">
        <f>IFERROR(INDEX(Initiatives!$B$2:$B$500,MATCH(A146,Initiatives!$A$2:$A$500,0)),"")</f>
        <v/>
      </c>
    </row>
    <row r="147">
      <c r="Q147" s="14">
        <f>IFERROR(INDEX(Initiatives!$B$2:$B$500,MATCH(A147,Initiatives!$A$2:$A$500,0)),"")</f>
        <v/>
      </c>
    </row>
    <row r="148">
      <c r="Q148" s="14">
        <f>IFERROR(INDEX(Initiatives!$B$2:$B$500,MATCH(A148,Initiatives!$A$2:$A$500,0)),"")</f>
        <v/>
      </c>
    </row>
    <row r="149">
      <c r="Q149" s="14">
        <f>IFERROR(INDEX(Initiatives!$B$2:$B$500,MATCH(A149,Initiatives!$A$2:$A$500,0)),"")</f>
        <v/>
      </c>
    </row>
    <row r="150">
      <c r="Q150" s="14">
        <f>IFERROR(INDEX(Initiatives!$B$2:$B$500,MATCH(A150,Initiatives!$A$2:$A$500,0)),"")</f>
        <v/>
      </c>
    </row>
    <row r="151">
      <c r="Q151" s="14">
        <f>IFERROR(INDEX(Initiatives!$B$2:$B$500,MATCH(A151,Initiatives!$A$2:$A$500,0)),"")</f>
        <v/>
      </c>
    </row>
    <row r="152">
      <c r="Q152" s="14">
        <f>IFERROR(INDEX(Initiatives!$B$2:$B$500,MATCH(A152,Initiatives!$A$2:$A$500,0)),"")</f>
        <v/>
      </c>
    </row>
    <row r="153">
      <c r="Q153" s="14">
        <f>IFERROR(INDEX(Initiatives!$B$2:$B$500,MATCH(A153,Initiatives!$A$2:$A$500,0)),"")</f>
        <v/>
      </c>
    </row>
    <row r="154">
      <c r="Q154" s="14">
        <f>IFERROR(INDEX(Initiatives!$B$2:$B$500,MATCH(A154,Initiatives!$A$2:$A$500,0)),"")</f>
        <v/>
      </c>
    </row>
    <row r="155">
      <c r="Q155" s="14">
        <f>IFERROR(INDEX(Initiatives!$B$2:$B$500,MATCH(A155,Initiatives!$A$2:$A$500,0)),"")</f>
        <v/>
      </c>
    </row>
    <row r="156">
      <c r="Q156" s="14">
        <f>IFERROR(INDEX(Initiatives!$B$2:$B$500,MATCH(A156,Initiatives!$A$2:$A$500,0)),"")</f>
        <v/>
      </c>
    </row>
    <row r="157">
      <c r="Q157" s="14">
        <f>IFERROR(INDEX(Initiatives!$B$2:$B$500,MATCH(A157,Initiatives!$A$2:$A$500,0)),"")</f>
        <v/>
      </c>
    </row>
    <row r="158">
      <c r="Q158" s="14">
        <f>IFERROR(INDEX(Initiatives!$B$2:$B$500,MATCH(A158,Initiatives!$A$2:$A$500,0)),"")</f>
        <v/>
      </c>
    </row>
    <row r="159">
      <c r="Q159" s="14">
        <f>IFERROR(INDEX(Initiatives!$B$2:$B$500,MATCH(A159,Initiatives!$A$2:$A$500,0)),"")</f>
        <v/>
      </c>
    </row>
    <row r="160">
      <c r="Q160" s="14">
        <f>IFERROR(INDEX(Initiatives!$B$2:$B$500,MATCH(A160,Initiatives!$A$2:$A$500,0)),"")</f>
        <v/>
      </c>
    </row>
    <row r="161">
      <c r="Q161" s="14">
        <f>IFERROR(INDEX(Initiatives!$B$2:$B$500,MATCH(A161,Initiatives!$A$2:$A$500,0)),"")</f>
        <v/>
      </c>
    </row>
    <row r="162">
      <c r="Q162" s="14">
        <f>IFERROR(INDEX(Initiatives!$B$2:$B$500,MATCH(A162,Initiatives!$A$2:$A$500,0)),"")</f>
        <v/>
      </c>
    </row>
    <row r="163">
      <c r="Q163" s="14">
        <f>IFERROR(INDEX(Initiatives!$B$2:$B$500,MATCH(A163,Initiatives!$A$2:$A$500,0)),"")</f>
        <v/>
      </c>
    </row>
    <row r="164">
      <c r="Q164" s="14">
        <f>IFERROR(INDEX(Initiatives!$B$2:$B$500,MATCH(A164,Initiatives!$A$2:$A$500,0)),"")</f>
        <v/>
      </c>
    </row>
    <row r="165">
      <c r="Q165" s="14">
        <f>IFERROR(INDEX(Initiatives!$B$2:$B$500,MATCH(A165,Initiatives!$A$2:$A$500,0)),"")</f>
        <v/>
      </c>
    </row>
    <row r="166">
      <c r="Q166" s="14">
        <f>IFERROR(INDEX(Initiatives!$B$2:$B$500,MATCH(A166,Initiatives!$A$2:$A$500,0)),"")</f>
        <v/>
      </c>
    </row>
    <row r="167">
      <c r="Q167" s="14">
        <f>IFERROR(INDEX(Initiatives!$B$2:$B$500,MATCH(A167,Initiatives!$A$2:$A$500,0)),"")</f>
        <v/>
      </c>
    </row>
    <row r="168">
      <c r="Q168" s="14">
        <f>IFERROR(INDEX(Initiatives!$B$2:$B$500,MATCH(A168,Initiatives!$A$2:$A$500,0)),"")</f>
        <v/>
      </c>
    </row>
    <row r="169">
      <c r="Q169" s="14">
        <f>IFERROR(INDEX(Initiatives!$B$2:$B$500,MATCH(A169,Initiatives!$A$2:$A$500,0)),"")</f>
        <v/>
      </c>
    </row>
    <row r="170">
      <c r="Q170" s="14">
        <f>IFERROR(INDEX(Initiatives!$B$2:$B$500,MATCH(A170,Initiatives!$A$2:$A$500,0)),"")</f>
        <v/>
      </c>
    </row>
    <row r="171">
      <c r="Q171" s="14">
        <f>IFERROR(INDEX(Initiatives!$B$2:$B$500,MATCH(A171,Initiatives!$A$2:$A$500,0)),"")</f>
        <v/>
      </c>
    </row>
    <row r="172">
      <c r="Q172" s="14">
        <f>IFERROR(INDEX(Initiatives!$B$2:$B$500,MATCH(A172,Initiatives!$A$2:$A$500,0)),"")</f>
        <v/>
      </c>
    </row>
    <row r="173">
      <c r="Q173" s="14">
        <f>IFERROR(INDEX(Initiatives!$B$2:$B$500,MATCH(A173,Initiatives!$A$2:$A$500,0)),"")</f>
        <v/>
      </c>
    </row>
    <row r="174">
      <c r="Q174" s="14">
        <f>IFERROR(INDEX(Initiatives!$B$2:$B$500,MATCH(A174,Initiatives!$A$2:$A$500,0)),"")</f>
        <v/>
      </c>
    </row>
    <row r="175">
      <c r="Q175" s="14">
        <f>IFERROR(INDEX(Initiatives!$B$2:$B$500,MATCH(A175,Initiatives!$A$2:$A$500,0)),"")</f>
        <v/>
      </c>
    </row>
    <row r="176">
      <c r="Q176" s="14">
        <f>IFERROR(INDEX(Initiatives!$B$2:$B$500,MATCH(A176,Initiatives!$A$2:$A$500,0)),"")</f>
        <v/>
      </c>
    </row>
    <row r="177">
      <c r="Q177" s="14">
        <f>IFERROR(INDEX(Initiatives!$B$2:$B$500,MATCH(A177,Initiatives!$A$2:$A$500,0)),"")</f>
        <v/>
      </c>
    </row>
    <row r="178">
      <c r="Q178" s="14">
        <f>IFERROR(INDEX(Initiatives!$B$2:$B$500,MATCH(A178,Initiatives!$A$2:$A$500,0)),"")</f>
        <v/>
      </c>
    </row>
    <row r="179">
      <c r="Q179" s="14">
        <f>IFERROR(INDEX(Initiatives!$B$2:$B$500,MATCH(A179,Initiatives!$A$2:$A$500,0)),"")</f>
        <v/>
      </c>
    </row>
    <row r="180">
      <c r="Q180" s="14">
        <f>IFERROR(INDEX(Initiatives!$B$2:$B$500,MATCH(A180,Initiatives!$A$2:$A$500,0)),"")</f>
        <v/>
      </c>
    </row>
    <row r="181">
      <c r="Q181" s="14">
        <f>IFERROR(INDEX(Initiatives!$B$2:$B$500,MATCH(A181,Initiatives!$A$2:$A$500,0)),"")</f>
        <v/>
      </c>
    </row>
    <row r="182">
      <c r="Q182" s="14">
        <f>IFERROR(INDEX(Initiatives!$B$2:$B$500,MATCH(A182,Initiatives!$A$2:$A$500,0)),"")</f>
        <v/>
      </c>
    </row>
    <row r="183">
      <c r="Q183" s="14">
        <f>IFERROR(INDEX(Initiatives!$B$2:$B$500,MATCH(A183,Initiatives!$A$2:$A$500,0)),"")</f>
        <v/>
      </c>
    </row>
    <row r="184">
      <c r="Q184" s="14">
        <f>IFERROR(INDEX(Initiatives!$B$2:$B$500,MATCH(A184,Initiatives!$A$2:$A$500,0)),"")</f>
        <v/>
      </c>
    </row>
    <row r="185">
      <c r="Q185" s="14">
        <f>IFERROR(INDEX(Initiatives!$B$2:$B$500,MATCH(A185,Initiatives!$A$2:$A$500,0)),"")</f>
        <v/>
      </c>
    </row>
    <row r="186">
      <c r="Q186" s="14">
        <f>IFERROR(INDEX(Initiatives!$B$2:$B$500,MATCH(A186,Initiatives!$A$2:$A$500,0)),"")</f>
        <v/>
      </c>
    </row>
    <row r="187">
      <c r="Q187" s="14">
        <f>IFERROR(INDEX(Initiatives!$B$2:$B$500,MATCH(A187,Initiatives!$A$2:$A$500,0)),"")</f>
        <v/>
      </c>
    </row>
    <row r="188">
      <c r="Q188" s="14">
        <f>IFERROR(INDEX(Initiatives!$B$2:$B$500,MATCH(A188,Initiatives!$A$2:$A$500,0)),"")</f>
        <v/>
      </c>
    </row>
    <row r="189">
      <c r="Q189" s="14">
        <f>IFERROR(INDEX(Initiatives!$B$2:$B$500,MATCH(A189,Initiatives!$A$2:$A$500,0)),"")</f>
        <v/>
      </c>
    </row>
    <row r="190">
      <c r="Q190" s="14">
        <f>IFERROR(INDEX(Initiatives!$B$2:$B$500,MATCH(A190,Initiatives!$A$2:$A$500,0)),"")</f>
        <v/>
      </c>
    </row>
    <row r="191">
      <c r="Q191" s="14">
        <f>IFERROR(INDEX(Initiatives!$B$2:$B$500,MATCH(A191,Initiatives!$A$2:$A$500,0)),"")</f>
        <v/>
      </c>
    </row>
    <row r="192">
      <c r="Q192" s="14">
        <f>IFERROR(INDEX(Initiatives!$B$2:$B$500,MATCH(A192,Initiatives!$A$2:$A$500,0)),"")</f>
        <v/>
      </c>
    </row>
    <row r="193">
      <c r="Q193" s="14">
        <f>IFERROR(INDEX(Initiatives!$B$2:$B$500,MATCH(A193,Initiatives!$A$2:$A$500,0)),"")</f>
        <v/>
      </c>
    </row>
    <row r="194">
      <c r="Q194" s="14">
        <f>IFERROR(INDEX(Initiatives!$B$2:$B$500,MATCH(A194,Initiatives!$A$2:$A$500,0)),"")</f>
        <v/>
      </c>
    </row>
    <row r="195">
      <c r="Q195" s="14">
        <f>IFERROR(INDEX(Initiatives!$B$2:$B$500,MATCH(A195,Initiatives!$A$2:$A$500,0)),"")</f>
        <v/>
      </c>
    </row>
    <row r="196">
      <c r="Q196" s="14">
        <f>IFERROR(INDEX(Initiatives!$B$2:$B$500,MATCH(A196,Initiatives!$A$2:$A$500,0)),"")</f>
        <v/>
      </c>
    </row>
    <row r="197">
      <c r="Q197" s="14">
        <f>IFERROR(INDEX(Initiatives!$B$2:$B$500,MATCH(A197,Initiatives!$A$2:$A$500,0)),"")</f>
        <v/>
      </c>
    </row>
    <row r="198">
      <c r="Q198" s="14">
        <f>IFERROR(INDEX(Initiatives!$B$2:$B$500,MATCH(A198,Initiatives!$A$2:$A$500,0)),"")</f>
        <v/>
      </c>
    </row>
    <row r="199">
      <c r="Q199" s="14">
        <f>IFERROR(INDEX(Initiatives!$B$2:$B$500,MATCH(A199,Initiatives!$A$2:$A$500,0)),"")</f>
        <v/>
      </c>
    </row>
    <row r="200">
      <c r="Q200" s="14">
        <f>IFERROR(INDEX(Initiatives!$B$2:$B$500,MATCH(A200,Initiatives!$A$2:$A$500,0)),"")</f>
        <v/>
      </c>
    </row>
    <row r="201">
      <c r="Q201" s="14">
        <f>IFERROR(INDEX(Initiatives!$B$2:$B$500,MATCH(A201,Initiatives!$A$2:$A$500,0)),"")</f>
        <v/>
      </c>
    </row>
    <row r="202">
      <c r="Q202" s="14">
        <f>IFERROR(INDEX(Initiatives!$B$2:$B$500,MATCH(A202,Initiatives!$A$2:$A$500,0)),"")</f>
        <v/>
      </c>
    </row>
    <row r="203">
      <c r="Q203" s="14">
        <f>IFERROR(INDEX(Initiatives!$B$2:$B$500,MATCH(A203,Initiatives!$A$2:$A$500,0)),"")</f>
        <v/>
      </c>
    </row>
    <row r="204">
      <c r="Q204" s="14">
        <f>IFERROR(INDEX(Initiatives!$B$2:$B$500,MATCH(A204,Initiatives!$A$2:$A$500,0)),"")</f>
        <v/>
      </c>
    </row>
    <row r="205">
      <c r="Q205" s="14">
        <f>IFERROR(INDEX(Initiatives!$B$2:$B$500,MATCH(A205,Initiatives!$A$2:$A$500,0)),"")</f>
        <v/>
      </c>
    </row>
    <row r="206">
      <c r="Q206" s="14">
        <f>IFERROR(INDEX(Initiatives!$B$2:$B$500,MATCH(A206,Initiatives!$A$2:$A$500,0)),"")</f>
        <v/>
      </c>
    </row>
    <row r="207">
      <c r="Q207" s="14">
        <f>IFERROR(INDEX(Initiatives!$B$2:$B$500,MATCH(A207,Initiatives!$A$2:$A$500,0)),"")</f>
        <v/>
      </c>
    </row>
    <row r="208">
      <c r="Q208" s="14">
        <f>IFERROR(INDEX(Initiatives!$B$2:$B$500,MATCH(A208,Initiatives!$A$2:$A$500,0)),"")</f>
        <v/>
      </c>
    </row>
    <row r="209">
      <c r="Q209" s="14">
        <f>IFERROR(INDEX(Initiatives!$B$2:$B$500,MATCH(A209,Initiatives!$A$2:$A$500,0)),"")</f>
        <v/>
      </c>
    </row>
    <row r="210">
      <c r="Q210" s="14">
        <f>IFERROR(INDEX(Initiatives!$B$2:$B$500,MATCH(A210,Initiatives!$A$2:$A$500,0)),"")</f>
        <v/>
      </c>
    </row>
    <row r="211">
      <c r="Q211" s="14">
        <f>IFERROR(INDEX(Initiatives!$B$2:$B$500,MATCH(A211,Initiatives!$A$2:$A$500,0)),"")</f>
        <v/>
      </c>
    </row>
    <row r="212">
      <c r="Q212" s="14">
        <f>IFERROR(INDEX(Initiatives!$B$2:$B$500,MATCH(A212,Initiatives!$A$2:$A$500,0)),"")</f>
        <v/>
      </c>
    </row>
    <row r="213">
      <c r="Q213" s="14">
        <f>IFERROR(INDEX(Initiatives!$B$2:$B$500,MATCH(A213,Initiatives!$A$2:$A$500,0)),"")</f>
        <v/>
      </c>
    </row>
    <row r="214">
      <c r="Q214" s="14">
        <f>IFERROR(INDEX(Initiatives!$B$2:$B$500,MATCH(A214,Initiatives!$A$2:$A$500,0)),"")</f>
        <v/>
      </c>
    </row>
    <row r="215">
      <c r="Q215" s="14">
        <f>IFERROR(INDEX(Initiatives!$B$2:$B$500,MATCH(A215,Initiatives!$A$2:$A$500,0)),"")</f>
        <v/>
      </c>
    </row>
    <row r="216">
      <c r="Q216" s="14">
        <f>IFERROR(INDEX(Initiatives!$B$2:$B$500,MATCH(A216,Initiatives!$A$2:$A$500,0)),"")</f>
        <v/>
      </c>
    </row>
    <row r="217">
      <c r="Q217" s="14">
        <f>IFERROR(INDEX(Initiatives!$B$2:$B$500,MATCH(A217,Initiatives!$A$2:$A$500,0)),"")</f>
        <v/>
      </c>
    </row>
    <row r="218">
      <c r="Q218" s="14">
        <f>IFERROR(INDEX(Initiatives!$B$2:$B$500,MATCH(A218,Initiatives!$A$2:$A$500,0)),"")</f>
        <v/>
      </c>
    </row>
    <row r="219">
      <c r="Q219" s="14">
        <f>IFERROR(INDEX(Initiatives!$B$2:$B$500,MATCH(A219,Initiatives!$A$2:$A$500,0)),"")</f>
        <v/>
      </c>
    </row>
    <row r="220">
      <c r="Q220" s="14">
        <f>IFERROR(INDEX(Initiatives!$B$2:$B$500,MATCH(A220,Initiatives!$A$2:$A$500,0)),"")</f>
        <v/>
      </c>
    </row>
    <row r="221">
      <c r="Q221" s="14">
        <f>IFERROR(INDEX(Initiatives!$B$2:$B$500,MATCH(A221,Initiatives!$A$2:$A$500,0)),"")</f>
        <v/>
      </c>
    </row>
    <row r="222">
      <c r="Q222" s="14">
        <f>IFERROR(INDEX(Initiatives!$B$2:$B$500,MATCH(A222,Initiatives!$A$2:$A$500,0)),"")</f>
        <v/>
      </c>
    </row>
    <row r="223">
      <c r="Q223" s="14">
        <f>IFERROR(INDEX(Initiatives!$B$2:$B$500,MATCH(A223,Initiatives!$A$2:$A$500,0)),"")</f>
        <v/>
      </c>
    </row>
    <row r="224">
      <c r="Q224" s="14">
        <f>IFERROR(INDEX(Initiatives!$B$2:$B$500,MATCH(A224,Initiatives!$A$2:$A$500,0)),"")</f>
        <v/>
      </c>
    </row>
    <row r="225">
      <c r="Q225" s="14">
        <f>IFERROR(INDEX(Initiatives!$B$2:$B$500,MATCH(A225,Initiatives!$A$2:$A$500,0)),"")</f>
        <v/>
      </c>
    </row>
    <row r="226">
      <c r="Q226" s="14">
        <f>IFERROR(INDEX(Initiatives!$B$2:$B$500,MATCH(A226,Initiatives!$A$2:$A$500,0)),"")</f>
        <v/>
      </c>
    </row>
    <row r="227">
      <c r="Q227" s="14">
        <f>IFERROR(INDEX(Initiatives!$B$2:$B$500,MATCH(A227,Initiatives!$A$2:$A$500,0)),"")</f>
        <v/>
      </c>
    </row>
    <row r="228">
      <c r="Q228" s="14">
        <f>IFERROR(INDEX(Initiatives!$B$2:$B$500,MATCH(A228,Initiatives!$A$2:$A$500,0)),"")</f>
        <v/>
      </c>
    </row>
    <row r="229">
      <c r="Q229" s="14">
        <f>IFERROR(INDEX(Initiatives!$B$2:$B$500,MATCH(A229,Initiatives!$A$2:$A$500,0)),"")</f>
        <v/>
      </c>
    </row>
    <row r="230">
      <c r="Q230" s="14">
        <f>IFERROR(INDEX(Initiatives!$B$2:$B$500,MATCH(A230,Initiatives!$A$2:$A$500,0)),"")</f>
        <v/>
      </c>
    </row>
    <row r="231">
      <c r="Q231" s="14">
        <f>IFERROR(INDEX(Initiatives!$B$2:$B$500,MATCH(A231,Initiatives!$A$2:$A$500,0)),"")</f>
        <v/>
      </c>
    </row>
    <row r="232">
      <c r="Q232" s="14">
        <f>IFERROR(INDEX(Initiatives!$B$2:$B$500,MATCH(A232,Initiatives!$A$2:$A$500,0)),"")</f>
        <v/>
      </c>
    </row>
    <row r="233">
      <c r="Q233" s="14">
        <f>IFERROR(INDEX(Initiatives!$B$2:$B$500,MATCH(A233,Initiatives!$A$2:$A$500,0)),"")</f>
        <v/>
      </c>
    </row>
    <row r="234">
      <c r="Q234" s="14">
        <f>IFERROR(INDEX(Initiatives!$B$2:$B$500,MATCH(A234,Initiatives!$A$2:$A$500,0)),"")</f>
        <v/>
      </c>
    </row>
    <row r="235">
      <c r="Q235" s="14">
        <f>IFERROR(INDEX(Initiatives!$B$2:$B$500,MATCH(A235,Initiatives!$A$2:$A$500,0)),"")</f>
        <v/>
      </c>
    </row>
    <row r="236">
      <c r="Q236" s="14">
        <f>IFERROR(INDEX(Initiatives!$B$2:$B$500,MATCH(A236,Initiatives!$A$2:$A$500,0)),"")</f>
        <v/>
      </c>
    </row>
    <row r="237">
      <c r="Q237" s="14">
        <f>IFERROR(INDEX(Initiatives!$B$2:$B$500,MATCH(A237,Initiatives!$A$2:$A$500,0)),"")</f>
        <v/>
      </c>
    </row>
    <row r="238">
      <c r="Q238" s="14">
        <f>IFERROR(INDEX(Initiatives!$B$2:$B$500,MATCH(A238,Initiatives!$A$2:$A$500,0)),"")</f>
        <v/>
      </c>
    </row>
    <row r="239">
      <c r="Q239" s="14">
        <f>IFERROR(INDEX(Initiatives!$B$2:$B$500,MATCH(A239,Initiatives!$A$2:$A$500,0)),"")</f>
        <v/>
      </c>
    </row>
    <row r="240">
      <c r="Q240" s="14">
        <f>IFERROR(INDEX(Initiatives!$B$2:$B$500,MATCH(A240,Initiatives!$A$2:$A$500,0)),"")</f>
        <v/>
      </c>
    </row>
    <row r="241">
      <c r="Q241" s="14">
        <f>IFERROR(INDEX(Initiatives!$B$2:$B$500,MATCH(A241,Initiatives!$A$2:$A$500,0)),"")</f>
        <v/>
      </c>
    </row>
    <row r="242">
      <c r="Q242" s="14">
        <f>IFERROR(INDEX(Initiatives!$B$2:$B$500,MATCH(A242,Initiatives!$A$2:$A$500,0)),"")</f>
        <v/>
      </c>
    </row>
    <row r="243">
      <c r="Q243" s="14">
        <f>IFERROR(INDEX(Initiatives!$B$2:$B$500,MATCH(A243,Initiatives!$A$2:$A$500,0)),"")</f>
        <v/>
      </c>
    </row>
    <row r="244">
      <c r="Q244" s="14">
        <f>IFERROR(INDEX(Initiatives!$B$2:$B$500,MATCH(A244,Initiatives!$A$2:$A$500,0)),"")</f>
        <v/>
      </c>
    </row>
    <row r="245">
      <c r="Q245" s="14">
        <f>IFERROR(INDEX(Initiatives!$B$2:$B$500,MATCH(A245,Initiatives!$A$2:$A$500,0)),"")</f>
        <v/>
      </c>
    </row>
    <row r="246">
      <c r="Q246" s="14">
        <f>IFERROR(INDEX(Initiatives!$B$2:$B$500,MATCH(A246,Initiatives!$A$2:$A$500,0)),"")</f>
        <v/>
      </c>
    </row>
    <row r="247">
      <c r="Q247" s="14">
        <f>IFERROR(INDEX(Initiatives!$B$2:$B$500,MATCH(A247,Initiatives!$A$2:$A$500,0)),"")</f>
        <v/>
      </c>
    </row>
    <row r="248">
      <c r="Q248" s="14">
        <f>IFERROR(INDEX(Initiatives!$B$2:$B$500,MATCH(A248,Initiatives!$A$2:$A$500,0)),"")</f>
        <v/>
      </c>
    </row>
    <row r="249">
      <c r="Q249" s="14">
        <f>IFERROR(INDEX(Initiatives!$B$2:$B$500,MATCH(A249,Initiatives!$A$2:$A$500,0)),"")</f>
        <v/>
      </c>
    </row>
    <row r="250">
      <c r="Q250" s="14">
        <f>IFERROR(INDEX(Initiatives!$B$2:$B$500,MATCH(A250,Initiatives!$A$2:$A$500,0)),"")</f>
        <v/>
      </c>
    </row>
    <row r="251">
      <c r="Q251" s="14">
        <f>IFERROR(INDEX(Initiatives!$B$2:$B$500,MATCH(A251,Initiatives!$A$2:$A$500,0)),"")</f>
        <v/>
      </c>
    </row>
    <row r="252">
      <c r="Q252" s="14">
        <f>IFERROR(INDEX(Initiatives!$B$2:$B$500,MATCH(A252,Initiatives!$A$2:$A$500,0)),"")</f>
        <v/>
      </c>
    </row>
    <row r="253">
      <c r="Q253" s="14">
        <f>IFERROR(INDEX(Initiatives!$B$2:$B$500,MATCH(A253,Initiatives!$A$2:$A$500,0)),"")</f>
        <v/>
      </c>
    </row>
    <row r="254">
      <c r="Q254" s="14">
        <f>IFERROR(INDEX(Initiatives!$B$2:$B$500,MATCH(A254,Initiatives!$A$2:$A$500,0)),"")</f>
        <v/>
      </c>
    </row>
    <row r="255">
      <c r="Q255" s="14">
        <f>IFERROR(INDEX(Initiatives!$B$2:$B$500,MATCH(A255,Initiatives!$A$2:$A$500,0)),"")</f>
        <v/>
      </c>
    </row>
    <row r="256">
      <c r="Q256" s="14">
        <f>IFERROR(INDEX(Initiatives!$B$2:$B$500,MATCH(A256,Initiatives!$A$2:$A$500,0)),"")</f>
        <v/>
      </c>
    </row>
    <row r="257">
      <c r="Q257" s="14">
        <f>IFERROR(INDEX(Initiatives!$B$2:$B$500,MATCH(A257,Initiatives!$A$2:$A$500,0)),"")</f>
        <v/>
      </c>
    </row>
    <row r="258">
      <c r="Q258" s="14">
        <f>IFERROR(INDEX(Initiatives!$B$2:$B$500,MATCH(A258,Initiatives!$A$2:$A$500,0)),"")</f>
        <v/>
      </c>
    </row>
    <row r="259">
      <c r="Q259" s="14">
        <f>IFERROR(INDEX(Initiatives!$B$2:$B$500,MATCH(A259,Initiatives!$A$2:$A$500,0)),"")</f>
        <v/>
      </c>
    </row>
    <row r="260">
      <c r="Q260" s="14">
        <f>IFERROR(INDEX(Initiatives!$B$2:$B$500,MATCH(A260,Initiatives!$A$2:$A$500,0)),"")</f>
        <v/>
      </c>
    </row>
    <row r="261">
      <c r="Q261" s="14">
        <f>IFERROR(INDEX(Initiatives!$B$2:$B$500,MATCH(A261,Initiatives!$A$2:$A$500,0)),"")</f>
        <v/>
      </c>
    </row>
    <row r="262">
      <c r="Q262" s="14">
        <f>IFERROR(INDEX(Initiatives!$B$2:$B$500,MATCH(A262,Initiatives!$A$2:$A$500,0)),"")</f>
        <v/>
      </c>
    </row>
    <row r="263">
      <c r="Q263" s="14">
        <f>IFERROR(INDEX(Initiatives!$B$2:$B$500,MATCH(A263,Initiatives!$A$2:$A$500,0)),"")</f>
        <v/>
      </c>
    </row>
    <row r="264">
      <c r="Q264" s="14">
        <f>IFERROR(INDEX(Initiatives!$B$2:$B$500,MATCH(A264,Initiatives!$A$2:$A$500,0)),"")</f>
        <v/>
      </c>
    </row>
    <row r="265">
      <c r="Q265" s="14">
        <f>IFERROR(INDEX(Initiatives!$B$2:$B$500,MATCH(A265,Initiatives!$A$2:$A$500,0)),"")</f>
        <v/>
      </c>
    </row>
    <row r="266">
      <c r="Q266" s="14">
        <f>IFERROR(INDEX(Initiatives!$B$2:$B$500,MATCH(A266,Initiatives!$A$2:$A$500,0)),"")</f>
        <v/>
      </c>
    </row>
    <row r="267">
      <c r="Q267" s="14">
        <f>IFERROR(INDEX(Initiatives!$B$2:$B$500,MATCH(A267,Initiatives!$A$2:$A$500,0)),"")</f>
        <v/>
      </c>
    </row>
    <row r="268">
      <c r="Q268" s="14">
        <f>IFERROR(INDEX(Initiatives!$B$2:$B$500,MATCH(A268,Initiatives!$A$2:$A$500,0)),"")</f>
        <v/>
      </c>
    </row>
    <row r="269">
      <c r="Q269" s="14">
        <f>IFERROR(INDEX(Initiatives!$B$2:$B$500,MATCH(A269,Initiatives!$A$2:$A$500,0)),"")</f>
        <v/>
      </c>
    </row>
    <row r="270">
      <c r="Q270" s="14">
        <f>IFERROR(INDEX(Initiatives!$B$2:$B$500,MATCH(A270,Initiatives!$A$2:$A$500,0)),"")</f>
        <v/>
      </c>
    </row>
    <row r="271">
      <c r="Q271" s="14">
        <f>IFERROR(INDEX(Initiatives!$B$2:$B$500,MATCH(A271,Initiatives!$A$2:$A$500,0)),"")</f>
        <v/>
      </c>
    </row>
    <row r="272">
      <c r="Q272" s="14">
        <f>IFERROR(INDEX(Initiatives!$B$2:$B$500,MATCH(A272,Initiatives!$A$2:$A$500,0)),"")</f>
        <v/>
      </c>
    </row>
    <row r="273">
      <c r="Q273" s="14">
        <f>IFERROR(INDEX(Initiatives!$B$2:$B$500,MATCH(A273,Initiatives!$A$2:$A$500,0)),"")</f>
        <v/>
      </c>
    </row>
    <row r="274">
      <c r="Q274" s="14">
        <f>IFERROR(INDEX(Initiatives!$B$2:$B$500,MATCH(A274,Initiatives!$A$2:$A$500,0)),"")</f>
        <v/>
      </c>
    </row>
    <row r="275">
      <c r="Q275" s="14">
        <f>IFERROR(INDEX(Initiatives!$B$2:$B$500,MATCH(A275,Initiatives!$A$2:$A$500,0)),"")</f>
        <v/>
      </c>
    </row>
    <row r="276">
      <c r="Q276" s="14">
        <f>IFERROR(INDEX(Initiatives!$B$2:$B$500,MATCH(A276,Initiatives!$A$2:$A$500,0)),"")</f>
        <v/>
      </c>
    </row>
    <row r="277">
      <c r="Q277" s="14">
        <f>IFERROR(INDEX(Initiatives!$B$2:$B$500,MATCH(A277,Initiatives!$A$2:$A$500,0)),"")</f>
        <v/>
      </c>
    </row>
    <row r="278">
      <c r="Q278" s="14">
        <f>IFERROR(INDEX(Initiatives!$B$2:$B$500,MATCH(A278,Initiatives!$A$2:$A$500,0)),"")</f>
        <v/>
      </c>
    </row>
    <row r="279">
      <c r="Q279" s="14">
        <f>IFERROR(INDEX(Initiatives!$B$2:$B$500,MATCH(A279,Initiatives!$A$2:$A$500,0)),"")</f>
        <v/>
      </c>
    </row>
    <row r="280">
      <c r="Q280" s="14">
        <f>IFERROR(INDEX(Initiatives!$B$2:$B$500,MATCH(A280,Initiatives!$A$2:$A$500,0)),"")</f>
        <v/>
      </c>
    </row>
    <row r="281">
      <c r="Q281" s="14">
        <f>IFERROR(INDEX(Initiatives!$B$2:$B$500,MATCH(A281,Initiatives!$A$2:$A$500,0)),"")</f>
        <v/>
      </c>
    </row>
    <row r="282">
      <c r="Q282" s="14">
        <f>IFERROR(INDEX(Initiatives!$B$2:$B$500,MATCH(A282,Initiatives!$A$2:$A$500,0)),"")</f>
        <v/>
      </c>
    </row>
    <row r="283">
      <c r="Q283" s="14">
        <f>IFERROR(INDEX(Initiatives!$B$2:$B$500,MATCH(A283,Initiatives!$A$2:$A$500,0)),"")</f>
        <v/>
      </c>
    </row>
    <row r="284">
      <c r="Q284" s="14">
        <f>IFERROR(INDEX(Initiatives!$B$2:$B$500,MATCH(A284,Initiatives!$A$2:$A$500,0)),"")</f>
        <v/>
      </c>
    </row>
    <row r="285">
      <c r="Q285" s="14">
        <f>IFERROR(INDEX(Initiatives!$B$2:$B$500,MATCH(A285,Initiatives!$A$2:$A$500,0)),"")</f>
        <v/>
      </c>
    </row>
    <row r="286">
      <c r="Q286" s="14">
        <f>IFERROR(INDEX(Initiatives!$B$2:$B$500,MATCH(A286,Initiatives!$A$2:$A$500,0)),"")</f>
        <v/>
      </c>
    </row>
    <row r="287">
      <c r="Q287" s="14">
        <f>IFERROR(INDEX(Initiatives!$B$2:$B$500,MATCH(A287,Initiatives!$A$2:$A$500,0)),"")</f>
        <v/>
      </c>
    </row>
    <row r="288">
      <c r="Q288" s="14">
        <f>IFERROR(INDEX(Initiatives!$B$2:$B$500,MATCH(A288,Initiatives!$A$2:$A$500,0)),"")</f>
        <v/>
      </c>
    </row>
    <row r="289">
      <c r="Q289" s="14">
        <f>IFERROR(INDEX(Initiatives!$B$2:$B$500,MATCH(A289,Initiatives!$A$2:$A$500,0)),"")</f>
        <v/>
      </c>
    </row>
    <row r="290">
      <c r="Q290" s="14">
        <f>IFERROR(INDEX(Initiatives!$B$2:$B$500,MATCH(A290,Initiatives!$A$2:$A$500,0)),"")</f>
        <v/>
      </c>
    </row>
    <row r="291">
      <c r="Q291" s="14">
        <f>IFERROR(INDEX(Initiatives!$B$2:$B$500,MATCH(A291,Initiatives!$A$2:$A$500,0)),"")</f>
        <v/>
      </c>
    </row>
    <row r="292">
      <c r="Q292" s="14">
        <f>IFERROR(INDEX(Initiatives!$B$2:$B$500,MATCH(A292,Initiatives!$A$2:$A$500,0)),"")</f>
        <v/>
      </c>
    </row>
    <row r="293">
      <c r="Q293" s="14">
        <f>IFERROR(INDEX(Initiatives!$B$2:$B$500,MATCH(A293,Initiatives!$A$2:$A$500,0)),"")</f>
        <v/>
      </c>
    </row>
    <row r="294">
      <c r="Q294" s="14">
        <f>IFERROR(INDEX(Initiatives!$B$2:$B$500,MATCH(A294,Initiatives!$A$2:$A$500,0)),"")</f>
        <v/>
      </c>
    </row>
    <row r="295">
      <c r="Q295" s="14">
        <f>IFERROR(INDEX(Initiatives!$B$2:$B$500,MATCH(A295,Initiatives!$A$2:$A$500,0)),"")</f>
        <v/>
      </c>
    </row>
    <row r="296">
      <c r="Q296" s="14">
        <f>IFERROR(INDEX(Initiatives!$B$2:$B$500,MATCH(A296,Initiatives!$A$2:$A$500,0)),"")</f>
        <v/>
      </c>
    </row>
    <row r="297">
      <c r="Q297" s="14">
        <f>IFERROR(INDEX(Initiatives!$B$2:$B$500,MATCH(A297,Initiatives!$A$2:$A$500,0)),"")</f>
        <v/>
      </c>
    </row>
    <row r="298">
      <c r="Q298" s="14">
        <f>IFERROR(INDEX(Initiatives!$B$2:$B$500,MATCH(A298,Initiatives!$A$2:$A$500,0)),"")</f>
        <v/>
      </c>
    </row>
    <row r="299">
      <c r="Q299" s="14">
        <f>IFERROR(INDEX(Initiatives!$B$2:$B$500,MATCH(A299,Initiatives!$A$2:$A$500,0)),"")</f>
        <v/>
      </c>
    </row>
    <row r="300">
      <c r="Q300" s="14">
        <f>IFERROR(INDEX(Initiatives!$B$2:$B$500,MATCH(A300,Initiatives!$A$2:$A$500,0)),"")</f>
        <v/>
      </c>
    </row>
    <row r="301">
      <c r="Q301" s="14">
        <f>IFERROR(INDEX(Initiatives!$B$2:$B$500,MATCH(A301,Initiatives!$A$2:$A$500,0)),"")</f>
        <v/>
      </c>
    </row>
    <row r="302">
      <c r="Q302" s="14">
        <f>IFERROR(INDEX(Initiatives!$B$2:$B$500,MATCH(A302,Initiatives!$A$2:$A$500,0)),"")</f>
        <v/>
      </c>
    </row>
    <row r="303">
      <c r="Q303" s="14">
        <f>IFERROR(INDEX(Initiatives!$B$2:$B$500,MATCH(A303,Initiatives!$A$2:$A$500,0)),"")</f>
        <v/>
      </c>
    </row>
    <row r="304">
      <c r="Q304" s="14">
        <f>IFERROR(INDEX(Initiatives!$B$2:$B$500,MATCH(A304,Initiatives!$A$2:$A$500,0)),"")</f>
        <v/>
      </c>
    </row>
    <row r="305">
      <c r="Q305" s="14">
        <f>IFERROR(INDEX(Initiatives!$B$2:$B$500,MATCH(A305,Initiatives!$A$2:$A$500,0)),"")</f>
        <v/>
      </c>
    </row>
    <row r="306">
      <c r="Q306" s="14">
        <f>IFERROR(INDEX(Initiatives!$B$2:$B$500,MATCH(A306,Initiatives!$A$2:$A$500,0)),"")</f>
        <v/>
      </c>
    </row>
    <row r="307">
      <c r="Q307" s="14">
        <f>IFERROR(INDEX(Initiatives!$B$2:$B$500,MATCH(A307,Initiatives!$A$2:$A$500,0)),"")</f>
        <v/>
      </c>
    </row>
    <row r="308">
      <c r="Q308" s="14">
        <f>IFERROR(INDEX(Initiatives!$B$2:$B$500,MATCH(A308,Initiatives!$A$2:$A$500,0)),"")</f>
        <v/>
      </c>
    </row>
    <row r="309">
      <c r="Q309" s="14">
        <f>IFERROR(INDEX(Initiatives!$B$2:$B$500,MATCH(A309,Initiatives!$A$2:$A$500,0)),"")</f>
        <v/>
      </c>
    </row>
    <row r="310">
      <c r="Q310" s="14">
        <f>IFERROR(INDEX(Initiatives!$B$2:$B$500,MATCH(A310,Initiatives!$A$2:$A$500,0)),"")</f>
        <v/>
      </c>
    </row>
    <row r="311">
      <c r="Q311" s="14">
        <f>IFERROR(INDEX(Initiatives!$B$2:$B$500,MATCH(A311,Initiatives!$A$2:$A$500,0)),"")</f>
        <v/>
      </c>
    </row>
    <row r="312">
      <c r="Q312" s="14">
        <f>IFERROR(INDEX(Initiatives!$B$2:$B$500,MATCH(A312,Initiatives!$A$2:$A$500,0)),"")</f>
        <v/>
      </c>
    </row>
    <row r="313">
      <c r="Q313" s="14">
        <f>IFERROR(INDEX(Initiatives!$B$2:$B$500,MATCH(A313,Initiatives!$A$2:$A$500,0)),"")</f>
        <v/>
      </c>
    </row>
    <row r="314">
      <c r="Q314" s="14">
        <f>IFERROR(INDEX(Initiatives!$B$2:$B$500,MATCH(A314,Initiatives!$A$2:$A$500,0)),"")</f>
        <v/>
      </c>
    </row>
    <row r="315">
      <c r="Q315" s="14">
        <f>IFERROR(INDEX(Initiatives!$B$2:$B$500,MATCH(A315,Initiatives!$A$2:$A$500,0)),"")</f>
        <v/>
      </c>
    </row>
    <row r="316">
      <c r="Q316" s="14">
        <f>IFERROR(INDEX(Initiatives!$B$2:$B$500,MATCH(A316,Initiatives!$A$2:$A$500,0)),"")</f>
        <v/>
      </c>
    </row>
    <row r="317">
      <c r="Q317" s="14">
        <f>IFERROR(INDEX(Initiatives!$B$2:$B$500,MATCH(A317,Initiatives!$A$2:$A$500,0)),"")</f>
        <v/>
      </c>
    </row>
    <row r="318">
      <c r="Q318" s="14">
        <f>IFERROR(INDEX(Initiatives!$B$2:$B$500,MATCH(A318,Initiatives!$A$2:$A$500,0)),"")</f>
        <v/>
      </c>
    </row>
    <row r="319">
      <c r="Q319" s="14">
        <f>IFERROR(INDEX(Initiatives!$B$2:$B$500,MATCH(A319,Initiatives!$A$2:$A$500,0)),"")</f>
        <v/>
      </c>
    </row>
    <row r="320">
      <c r="Q320" s="14">
        <f>IFERROR(INDEX(Initiatives!$B$2:$B$500,MATCH(A320,Initiatives!$A$2:$A$500,0)),"")</f>
        <v/>
      </c>
    </row>
    <row r="321">
      <c r="Q321" s="14">
        <f>IFERROR(INDEX(Initiatives!$B$2:$B$500,MATCH(A321,Initiatives!$A$2:$A$500,0)),"")</f>
        <v/>
      </c>
    </row>
    <row r="322">
      <c r="Q322" s="14">
        <f>IFERROR(INDEX(Initiatives!$B$2:$B$500,MATCH(A322,Initiatives!$A$2:$A$500,0)),"")</f>
        <v/>
      </c>
    </row>
    <row r="323">
      <c r="Q323" s="14">
        <f>IFERROR(INDEX(Initiatives!$B$2:$B$500,MATCH(A323,Initiatives!$A$2:$A$500,0)),"")</f>
        <v/>
      </c>
    </row>
    <row r="324">
      <c r="Q324" s="14">
        <f>IFERROR(INDEX(Initiatives!$B$2:$B$500,MATCH(A324,Initiatives!$A$2:$A$500,0)),"")</f>
        <v/>
      </c>
    </row>
    <row r="325">
      <c r="Q325" s="14">
        <f>IFERROR(INDEX(Initiatives!$B$2:$B$500,MATCH(A325,Initiatives!$A$2:$A$500,0)),"")</f>
        <v/>
      </c>
    </row>
    <row r="326">
      <c r="Q326" s="14">
        <f>IFERROR(INDEX(Initiatives!$B$2:$B$500,MATCH(A326,Initiatives!$A$2:$A$500,0)),"")</f>
        <v/>
      </c>
    </row>
    <row r="327">
      <c r="Q327" s="14">
        <f>IFERROR(INDEX(Initiatives!$B$2:$B$500,MATCH(A327,Initiatives!$A$2:$A$500,0)),"")</f>
        <v/>
      </c>
    </row>
    <row r="328">
      <c r="Q328" s="14">
        <f>IFERROR(INDEX(Initiatives!$B$2:$B$500,MATCH(A328,Initiatives!$A$2:$A$500,0)),"")</f>
        <v/>
      </c>
    </row>
    <row r="329">
      <c r="Q329" s="14">
        <f>IFERROR(INDEX(Initiatives!$B$2:$B$500,MATCH(A329,Initiatives!$A$2:$A$500,0)),"")</f>
        <v/>
      </c>
    </row>
    <row r="330">
      <c r="Q330" s="14">
        <f>IFERROR(INDEX(Initiatives!$B$2:$B$500,MATCH(A330,Initiatives!$A$2:$A$500,0)),"")</f>
        <v/>
      </c>
    </row>
    <row r="331">
      <c r="Q331" s="14">
        <f>IFERROR(INDEX(Initiatives!$B$2:$B$500,MATCH(A331,Initiatives!$A$2:$A$500,0)),"")</f>
        <v/>
      </c>
    </row>
    <row r="332">
      <c r="Q332" s="14">
        <f>IFERROR(INDEX(Initiatives!$B$2:$B$500,MATCH(A332,Initiatives!$A$2:$A$500,0)),"")</f>
        <v/>
      </c>
    </row>
    <row r="333">
      <c r="Q333" s="14">
        <f>IFERROR(INDEX(Initiatives!$B$2:$B$500,MATCH(A333,Initiatives!$A$2:$A$500,0)),"")</f>
        <v/>
      </c>
    </row>
    <row r="334">
      <c r="Q334" s="14">
        <f>IFERROR(INDEX(Initiatives!$B$2:$B$500,MATCH(A334,Initiatives!$A$2:$A$500,0)),"")</f>
        <v/>
      </c>
    </row>
    <row r="335">
      <c r="Q335" s="14">
        <f>IFERROR(INDEX(Initiatives!$B$2:$B$500,MATCH(A335,Initiatives!$A$2:$A$500,0)),"")</f>
        <v/>
      </c>
    </row>
    <row r="336">
      <c r="Q336" s="14">
        <f>IFERROR(INDEX(Initiatives!$B$2:$B$500,MATCH(A336,Initiatives!$A$2:$A$500,0)),"")</f>
        <v/>
      </c>
    </row>
    <row r="337">
      <c r="Q337" s="14">
        <f>IFERROR(INDEX(Initiatives!$B$2:$B$500,MATCH(A337,Initiatives!$A$2:$A$500,0)),"")</f>
        <v/>
      </c>
    </row>
    <row r="338">
      <c r="Q338" s="14">
        <f>IFERROR(INDEX(Initiatives!$B$2:$B$500,MATCH(A338,Initiatives!$A$2:$A$500,0)),"")</f>
        <v/>
      </c>
    </row>
    <row r="339">
      <c r="Q339" s="14">
        <f>IFERROR(INDEX(Initiatives!$B$2:$B$500,MATCH(A339,Initiatives!$A$2:$A$500,0)),"")</f>
        <v/>
      </c>
    </row>
    <row r="340">
      <c r="Q340" s="14">
        <f>IFERROR(INDEX(Initiatives!$B$2:$B$500,MATCH(A340,Initiatives!$A$2:$A$500,0)),"")</f>
        <v/>
      </c>
    </row>
    <row r="341">
      <c r="Q341" s="14">
        <f>IFERROR(INDEX(Initiatives!$B$2:$B$500,MATCH(A341,Initiatives!$A$2:$A$500,0)),"")</f>
        <v/>
      </c>
    </row>
    <row r="342">
      <c r="Q342" s="14">
        <f>IFERROR(INDEX(Initiatives!$B$2:$B$500,MATCH(A342,Initiatives!$A$2:$A$500,0)),"")</f>
        <v/>
      </c>
    </row>
    <row r="343">
      <c r="Q343" s="14">
        <f>IFERROR(INDEX(Initiatives!$B$2:$B$500,MATCH(A343,Initiatives!$A$2:$A$500,0)),"")</f>
        <v/>
      </c>
    </row>
    <row r="344">
      <c r="Q344" s="14">
        <f>IFERROR(INDEX(Initiatives!$B$2:$B$500,MATCH(A344,Initiatives!$A$2:$A$500,0)),"")</f>
        <v/>
      </c>
    </row>
    <row r="345">
      <c r="Q345" s="14">
        <f>IFERROR(INDEX(Initiatives!$B$2:$B$500,MATCH(A345,Initiatives!$A$2:$A$500,0)),"")</f>
        <v/>
      </c>
    </row>
    <row r="346">
      <c r="Q346" s="14">
        <f>IFERROR(INDEX(Initiatives!$B$2:$B$500,MATCH(A346,Initiatives!$A$2:$A$500,0)),"")</f>
        <v/>
      </c>
    </row>
    <row r="347">
      <c r="Q347" s="14">
        <f>IFERROR(INDEX(Initiatives!$B$2:$B$500,MATCH(A347,Initiatives!$A$2:$A$500,0)),"")</f>
        <v/>
      </c>
    </row>
    <row r="348">
      <c r="Q348" s="14">
        <f>IFERROR(INDEX(Initiatives!$B$2:$B$500,MATCH(A348,Initiatives!$A$2:$A$500,0)),"")</f>
        <v/>
      </c>
    </row>
    <row r="349">
      <c r="Q349" s="14">
        <f>IFERROR(INDEX(Initiatives!$B$2:$B$500,MATCH(A349,Initiatives!$A$2:$A$500,0)),"")</f>
        <v/>
      </c>
    </row>
    <row r="350">
      <c r="Q350" s="14">
        <f>IFERROR(INDEX(Initiatives!$B$2:$B$500,MATCH(A350,Initiatives!$A$2:$A$500,0)),"")</f>
        <v/>
      </c>
    </row>
    <row r="351">
      <c r="Q351" s="14">
        <f>IFERROR(INDEX(Initiatives!$B$2:$B$500,MATCH(A351,Initiatives!$A$2:$A$500,0)),"")</f>
        <v/>
      </c>
    </row>
    <row r="352">
      <c r="Q352" s="14">
        <f>IFERROR(INDEX(Initiatives!$B$2:$B$500,MATCH(A352,Initiatives!$A$2:$A$500,0)),"")</f>
        <v/>
      </c>
    </row>
    <row r="353">
      <c r="Q353" s="14">
        <f>IFERROR(INDEX(Initiatives!$B$2:$B$500,MATCH(A353,Initiatives!$A$2:$A$500,0)),"")</f>
        <v/>
      </c>
    </row>
    <row r="354">
      <c r="Q354" s="14">
        <f>IFERROR(INDEX(Initiatives!$B$2:$B$500,MATCH(A354,Initiatives!$A$2:$A$500,0)),"")</f>
        <v/>
      </c>
    </row>
    <row r="355">
      <c r="Q355" s="14">
        <f>IFERROR(INDEX(Initiatives!$B$2:$B$500,MATCH(A355,Initiatives!$A$2:$A$500,0)),"")</f>
        <v/>
      </c>
    </row>
    <row r="356">
      <c r="Q356" s="14">
        <f>IFERROR(INDEX(Initiatives!$B$2:$B$500,MATCH(A356,Initiatives!$A$2:$A$500,0)),"")</f>
        <v/>
      </c>
    </row>
    <row r="357">
      <c r="Q357" s="14">
        <f>IFERROR(INDEX(Initiatives!$B$2:$B$500,MATCH(A357,Initiatives!$A$2:$A$500,0)),"")</f>
        <v/>
      </c>
    </row>
    <row r="358">
      <c r="Q358" s="14">
        <f>IFERROR(INDEX(Initiatives!$B$2:$B$500,MATCH(A358,Initiatives!$A$2:$A$500,0)),"")</f>
        <v/>
      </c>
    </row>
    <row r="359">
      <c r="Q359" s="14">
        <f>IFERROR(INDEX(Initiatives!$B$2:$B$500,MATCH(A359,Initiatives!$A$2:$A$500,0)),"")</f>
        <v/>
      </c>
    </row>
    <row r="360">
      <c r="Q360" s="14">
        <f>IFERROR(INDEX(Initiatives!$B$2:$B$500,MATCH(A360,Initiatives!$A$2:$A$500,0)),"")</f>
        <v/>
      </c>
    </row>
    <row r="361">
      <c r="Q361" s="14">
        <f>IFERROR(INDEX(Initiatives!$B$2:$B$500,MATCH(A361,Initiatives!$A$2:$A$500,0)),"")</f>
        <v/>
      </c>
    </row>
    <row r="362">
      <c r="Q362" s="14">
        <f>IFERROR(INDEX(Initiatives!$B$2:$B$500,MATCH(A362,Initiatives!$A$2:$A$500,0)),"")</f>
        <v/>
      </c>
    </row>
    <row r="363">
      <c r="Q363" s="14">
        <f>IFERROR(INDEX(Initiatives!$B$2:$B$500,MATCH(A363,Initiatives!$A$2:$A$500,0)),"")</f>
        <v/>
      </c>
    </row>
    <row r="364">
      <c r="Q364" s="14">
        <f>IFERROR(INDEX(Initiatives!$B$2:$B$500,MATCH(A364,Initiatives!$A$2:$A$500,0)),"")</f>
        <v/>
      </c>
    </row>
    <row r="365">
      <c r="Q365" s="14">
        <f>IFERROR(INDEX(Initiatives!$B$2:$B$500,MATCH(A365,Initiatives!$A$2:$A$500,0)),"")</f>
        <v/>
      </c>
    </row>
    <row r="366">
      <c r="Q366" s="14">
        <f>IFERROR(INDEX(Initiatives!$B$2:$B$500,MATCH(A366,Initiatives!$A$2:$A$500,0)),"")</f>
        <v/>
      </c>
    </row>
    <row r="367">
      <c r="Q367" s="14">
        <f>IFERROR(INDEX(Initiatives!$B$2:$B$500,MATCH(A367,Initiatives!$A$2:$A$500,0)),"")</f>
        <v/>
      </c>
    </row>
    <row r="368">
      <c r="Q368" s="14">
        <f>IFERROR(INDEX(Initiatives!$B$2:$B$500,MATCH(A368,Initiatives!$A$2:$A$500,0)),"")</f>
        <v/>
      </c>
    </row>
    <row r="369">
      <c r="Q369" s="14">
        <f>IFERROR(INDEX(Initiatives!$B$2:$B$500,MATCH(A369,Initiatives!$A$2:$A$500,0)),"")</f>
        <v/>
      </c>
    </row>
    <row r="370">
      <c r="Q370" s="14">
        <f>IFERROR(INDEX(Initiatives!$B$2:$B$500,MATCH(A370,Initiatives!$A$2:$A$500,0)),"")</f>
        <v/>
      </c>
    </row>
    <row r="371">
      <c r="Q371" s="14">
        <f>IFERROR(INDEX(Initiatives!$B$2:$B$500,MATCH(A371,Initiatives!$A$2:$A$500,0)),"")</f>
        <v/>
      </c>
    </row>
    <row r="372">
      <c r="Q372" s="14">
        <f>IFERROR(INDEX(Initiatives!$B$2:$B$500,MATCH(A372,Initiatives!$A$2:$A$500,0)),"")</f>
        <v/>
      </c>
    </row>
    <row r="373">
      <c r="Q373" s="14">
        <f>IFERROR(INDEX(Initiatives!$B$2:$B$500,MATCH(A373,Initiatives!$A$2:$A$500,0)),"")</f>
        <v/>
      </c>
    </row>
    <row r="374">
      <c r="Q374" s="14">
        <f>IFERROR(INDEX(Initiatives!$B$2:$B$500,MATCH(A374,Initiatives!$A$2:$A$500,0)),"")</f>
        <v/>
      </c>
    </row>
    <row r="375">
      <c r="Q375" s="14">
        <f>IFERROR(INDEX(Initiatives!$B$2:$B$500,MATCH(A375,Initiatives!$A$2:$A$500,0)),"")</f>
        <v/>
      </c>
    </row>
    <row r="376">
      <c r="Q376" s="14">
        <f>IFERROR(INDEX(Initiatives!$B$2:$B$500,MATCH(A376,Initiatives!$A$2:$A$500,0)),"")</f>
        <v/>
      </c>
    </row>
    <row r="377">
      <c r="Q377" s="14">
        <f>IFERROR(INDEX(Initiatives!$B$2:$B$500,MATCH(A377,Initiatives!$A$2:$A$500,0)),"")</f>
        <v/>
      </c>
    </row>
    <row r="378">
      <c r="Q378" s="14">
        <f>IFERROR(INDEX(Initiatives!$B$2:$B$500,MATCH(A378,Initiatives!$A$2:$A$500,0)),"")</f>
        <v/>
      </c>
    </row>
    <row r="379">
      <c r="Q379" s="14">
        <f>IFERROR(INDEX(Initiatives!$B$2:$B$500,MATCH(A379,Initiatives!$A$2:$A$500,0)),"")</f>
        <v/>
      </c>
    </row>
    <row r="380">
      <c r="Q380" s="14">
        <f>IFERROR(INDEX(Initiatives!$B$2:$B$500,MATCH(A380,Initiatives!$A$2:$A$500,0)),"")</f>
        <v/>
      </c>
    </row>
    <row r="381">
      <c r="Q381" s="14">
        <f>IFERROR(INDEX(Initiatives!$B$2:$B$500,MATCH(A381,Initiatives!$A$2:$A$500,0)),"")</f>
        <v/>
      </c>
    </row>
    <row r="382">
      <c r="Q382" s="14">
        <f>IFERROR(INDEX(Initiatives!$B$2:$B$500,MATCH(A382,Initiatives!$A$2:$A$500,0)),"")</f>
        <v/>
      </c>
    </row>
    <row r="383">
      <c r="Q383" s="14">
        <f>IFERROR(INDEX(Initiatives!$B$2:$B$500,MATCH(A383,Initiatives!$A$2:$A$500,0)),"")</f>
        <v/>
      </c>
    </row>
    <row r="384">
      <c r="Q384" s="14">
        <f>IFERROR(INDEX(Initiatives!$B$2:$B$500,MATCH(A384,Initiatives!$A$2:$A$500,0)),"")</f>
        <v/>
      </c>
    </row>
    <row r="385">
      <c r="Q385" s="14">
        <f>IFERROR(INDEX(Initiatives!$B$2:$B$500,MATCH(A385,Initiatives!$A$2:$A$500,0)),"")</f>
        <v/>
      </c>
    </row>
    <row r="386">
      <c r="Q386" s="14">
        <f>IFERROR(INDEX(Initiatives!$B$2:$B$500,MATCH(A386,Initiatives!$A$2:$A$500,0)),"")</f>
        <v/>
      </c>
    </row>
    <row r="387">
      <c r="Q387" s="14">
        <f>IFERROR(INDEX(Initiatives!$B$2:$B$500,MATCH(A387,Initiatives!$A$2:$A$500,0)),"")</f>
        <v/>
      </c>
    </row>
    <row r="388">
      <c r="Q388" s="14">
        <f>IFERROR(INDEX(Initiatives!$B$2:$B$500,MATCH(A388,Initiatives!$A$2:$A$500,0)),"")</f>
        <v/>
      </c>
    </row>
    <row r="389">
      <c r="Q389" s="14">
        <f>IFERROR(INDEX(Initiatives!$B$2:$B$500,MATCH(A389,Initiatives!$A$2:$A$500,0)),"")</f>
        <v/>
      </c>
    </row>
    <row r="390">
      <c r="Q390" s="14">
        <f>IFERROR(INDEX(Initiatives!$B$2:$B$500,MATCH(A390,Initiatives!$A$2:$A$500,0)),"")</f>
        <v/>
      </c>
    </row>
    <row r="391">
      <c r="Q391" s="14">
        <f>IFERROR(INDEX(Initiatives!$B$2:$B$500,MATCH(A391,Initiatives!$A$2:$A$500,0)),"")</f>
        <v/>
      </c>
    </row>
    <row r="392">
      <c r="Q392" s="14">
        <f>IFERROR(INDEX(Initiatives!$B$2:$B$500,MATCH(A392,Initiatives!$A$2:$A$500,0)),"")</f>
        <v/>
      </c>
    </row>
    <row r="393">
      <c r="Q393" s="14">
        <f>IFERROR(INDEX(Initiatives!$B$2:$B$500,MATCH(A393,Initiatives!$A$2:$A$500,0)),"")</f>
        <v/>
      </c>
    </row>
    <row r="394">
      <c r="Q394" s="14">
        <f>IFERROR(INDEX(Initiatives!$B$2:$B$500,MATCH(A394,Initiatives!$A$2:$A$500,0)),"")</f>
        <v/>
      </c>
    </row>
    <row r="395">
      <c r="Q395" s="14">
        <f>IFERROR(INDEX(Initiatives!$B$2:$B$500,MATCH(A395,Initiatives!$A$2:$A$500,0)),"")</f>
        <v/>
      </c>
    </row>
    <row r="396">
      <c r="Q396" s="14">
        <f>IFERROR(INDEX(Initiatives!$B$2:$B$500,MATCH(A396,Initiatives!$A$2:$A$500,0)),"")</f>
        <v/>
      </c>
    </row>
    <row r="397">
      <c r="Q397" s="14">
        <f>IFERROR(INDEX(Initiatives!$B$2:$B$500,MATCH(A397,Initiatives!$A$2:$A$500,0)),"")</f>
        <v/>
      </c>
    </row>
    <row r="398">
      <c r="Q398" s="14">
        <f>IFERROR(INDEX(Initiatives!$B$2:$B$500,MATCH(A398,Initiatives!$A$2:$A$500,0)),"")</f>
        <v/>
      </c>
    </row>
    <row r="399">
      <c r="Q399" s="14">
        <f>IFERROR(INDEX(Initiatives!$B$2:$B$500,MATCH(A399,Initiatives!$A$2:$A$500,0)),"")</f>
        <v/>
      </c>
    </row>
    <row r="400">
      <c r="Q400" s="14">
        <f>IFERROR(INDEX(Initiatives!$B$2:$B$500,MATCH(A400,Initiatives!$A$2:$A$500,0)),"")</f>
        <v/>
      </c>
    </row>
    <row r="401">
      <c r="Q401" s="14">
        <f>IFERROR(INDEX(Initiatives!$B$2:$B$500,MATCH(A401,Initiatives!$A$2:$A$500,0)),"")</f>
        <v/>
      </c>
    </row>
    <row r="402">
      <c r="Q402" s="14">
        <f>IFERROR(INDEX(Initiatives!$B$2:$B$500,MATCH(A402,Initiatives!$A$2:$A$500,0)),"")</f>
        <v/>
      </c>
    </row>
    <row r="403">
      <c r="Q403" s="14">
        <f>IFERROR(INDEX(Initiatives!$B$2:$B$500,MATCH(A403,Initiatives!$A$2:$A$500,0)),"")</f>
        <v/>
      </c>
    </row>
    <row r="404">
      <c r="Q404" s="14">
        <f>IFERROR(INDEX(Initiatives!$B$2:$B$500,MATCH(A404,Initiatives!$A$2:$A$500,0)),"")</f>
        <v/>
      </c>
    </row>
    <row r="405">
      <c r="Q405" s="14">
        <f>IFERROR(INDEX(Initiatives!$B$2:$B$500,MATCH(A405,Initiatives!$A$2:$A$500,0)),"")</f>
        <v/>
      </c>
    </row>
    <row r="406">
      <c r="Q406" s="14">
        <f>IFERROR(INDEX(Initiatives!$B$2:$B$500,MATCH(A406,Initiatives!$A$2:$A$500,0)),"")</f>
        <v/>
      </c>
    </row>
    <row r="407">
      <c r="Q407" s="14">
        <f>IFERROR(INDEX(Initiatives!$B$2:$B$500,MATCH(A407,Initiatives!$A$2:$A$500,0)),"")</f>
        <v/>
      </c>
    </row>
    <row r="408">
      <c r="Q408" s="14">
        <f>IFERROR(INDEX(Initiatives!$B$2:$B$500,MATCH(A408,Initiatives!$A$2:$A$500,0)),"")</f>
        <v/>
      </c>
    </row>
    <row r="409">
      <c r="Q409" s="14">
        <f>IFERROR(INDEX(Initiatives!$B$2:$B$500,MATCH(A409,Initiatives!$A$2:$A$500,0)),"")</f>
        <v/>
      </c>
    </row>
    <row r="410">
      <c r="Q410" s="14">
        <f>IFERROR(INDEX(Initiatives!$B$2:$B$500,MATCH(A410,Initiatives!$A$2:$A$500,0)),"")</f>
        <v/>
      </c>
    </row>
    <row r="411">
      <c r="Q411" s="14">
        <f>IFERROR(INDEX(Initiatives!$B$2:$B$500,MATCH(A411,Initiatives!$A$2:$A$500,0)),"")</f>
        <v/>
      </c>
    </row>
    <row r="412">
      <c r="Q412" s="14">
        <f>IFERROR(INDEX(Initiatives!$B$2:$B$500,MATCH(A412,Initiatives!$A$2:$A$500,0)),"")</f>
        <v/>
      </c>
    </row>
    <row r="413">
      <c r="Q413" s="14">
        <f>IFERROR(INDEX(Initiatives!$B$2:$B$500,MATCH(A413,Initiatives!$A$2:$A$500,0)),"")</f>
        <v/>
      </c>
    </row>
    <row r="414">
      <c r="Q414" s="14">
        <f>IFERROR(INDEX(Initiatives!$B$2:$B$500,MATCH(A414,Initiatives!$A$2:$A$500,0)),"")</f>
        <v/>
      </c>
    </row>
    <row r="415">
      <c r="Q415" s="14">
        <f>IFERROR(INDEX(Initiatives!$B$2:$B$500,MATCH(A415,Initiatives!$A$2:$A$500,0)),"")</f>
        <v/>
      </c>
    </row>
    <row r="416">
      <c r="Q416" s="14">
        <f>IFERROR(INDEX(Initiatives!$B$2:$B$500,MATCH(A416,Initiatives!$A$2:$A$500,0)),"")</f>
        <v/>
      </c>
    </row>
    <row r="417">
      <c r="Q417" s="14">
        <f>IFERROR(INDEX(Initiatives!$B$2:$B$500,MATCH(A417,Initiatives!$A$2:$A$500,0)),"")</f>
        <v/>
      </c>
    </row>
    <row r="418">
      <c r="Q418" s="14">
        <f>IFERROR(INDEX(Initiatives!$B$2:$B$500,MATCH(A418,Initiatives!$A$2:$A$500,0)),"")</f>
        <v/>
      </c>
    </row>
    <row r="419">
      <c r="Q419" s="14">
        <f>IFERROR(INDEX(Initiatives!$B$2:$B$500,MATCH(A419,Initiatives!$A$2:$A$500,0)),"")</f>
        <v/>
      </c>
    </row>
    <row r="420">
      <c r="Q420" s="14">
        <f>IFERROR(INDEX(Initiatives!$B$2:$B$500,MATCH(A420,Initiatives!$A$2:$A$500,0)),"")</f>
        <v/>
      </c>
    </row>
    <row r="421">
      <c r="Q421" s="14">
        <f>IFERROR(INDEX(Initiatives!$B$2:$B$500,MATCH(A421,Initiatives!$A$2:$A$500,0)),"")</f>
        <v/>
      </c>
    </row>
    <row r="422">
      <c r="Q422" s="14">
        <f>IFERROR(INDEX(Initiatives!$B$2:$B$500,MATCH(A422,Initiatives!$A$2:$A$500,0)),"")</f>
        <v/>
      </c>
    </row>
    <row r="423">
      <c r="Q423" s="14">
        <f>IFERROR(INDEX(Initiatives!$B$2:$B$500,MATCH(A423,Initiatives!$A$2:$A$500,0)),"")</f>
        <v/>
      </c>
    </row>
    <row r="424">
      <c r="Q424" s="14">
        <f>IFERROR(INDEX(Initiatives!$B$2:$B$500,MATCH(A424,Initiatives!$A$2:$A$500,0)),"")</f>
        <v/>
      </c>
    </row>
    <row r="425">
      <c r="Q425" s="14">
        <f>IFERROR(INDEX(Initiatives!$B$2:$B$500,MATCH(A425,Initiatives!$A$2:$A$500,0)),"")</f>
        <v/>
      </c>
    </row>
    <row r="426">
      <c r="Q426" s="14">
        <f>IFERROR(INDEX(Initiatives!$B$2:$B$500,MATCH(A426,Initiatives!$A$2:$A$500,0)),"")</f>
        <v/>
      </c>
    </row>
    <row r="427">
      <c r="Q427" s="14">
        <f>IFERROR(INDEX(Initiatives!$B$2:$B$500,MATCH(A427,Initiatives!$A$2:$A$500,0)),"")</f>
        <v/>
      </c>
    </row>
    <row r="428">
      <c r="Q428" s="14">
        <f>IFERROR(INDEX(Initiatives!$B$2:$B$500,MATCH(A428,Initiatives!$A$2:$A$500,0)),"")</f>
        <v/>
      </c>
    </row>
    <row r="429">
      <c r="Q429" s="14">
        <f>IFERROR(INDEX(Initiatives!$B$2:$B$500,MATCH(A429,Initiatives!$A$2:$A$500,0)),"")</f>
        <v/>
      </c>
    </row>
    <row r="430">
      <c r="Q430" s="14">
        <f>IFERROR(INDEX(Initiatives!$B$2:$B$500,MATCH(A430,Initiatives!$A$2:$A$500,0)),"")</f>
        <v/>
      </c>
    </row>
    <row r="431">
      <c r="Q431" s="14">
        <f>IFERROR(INDEX(Initiatives!$B$2:$B$500,MATCH(A431,Initiatives!$A$2:$A$500,0)),"")</f>
        <v/>
      </c>
    </row>
    <row r="432">
      <c r="Q432" s="14">
        <f>IFERROR(INDEX(Initiatives!$B$2:$B$500,MATCH(A432,Initiatives!$A$2:$A$500,0)),"")</f>
        <v/>
      </c>
    </row>
    <row r="433">
      <c r="Q433" s="14">
        <f>IFERROR(INDEX(Initiatives!$B$2:$B$500,MATCH(A433,Initiatives!$A$2:$A$500,0)),"")</f>
        <v/>
      </c>
    </row>
    <row r="434">
      <c r="Q434" s="14">
        <f>IFERROR(INDEX(Initiatives!$B$2:$B$500,MATCH(A434,Initiatives!$A$2:$A$500,0)),"")</f>
        <v/>
      </c>
    </row>
    <row r="435">
      <c r="Q435" s="14">
        <f>IFERROR(INDEX(Initiatives!$B$2:$B$500,MATCH(A435,Initiatives!$A$2:$A$500,0)),"")</f>
        <v/>
      </c>
    </row>
    <row r="436">
      <c r="Q436" s="14">
        <f>IFERROR(INDEX(Initiatives!$B$2:$B$500,MATCH(A436,Initiatives!$A$2:$A$500,0)),"")</f>
        <v/>
      </c>
    </row>
    <row r="437">
      <c r="Q437" s="14">
        <f>IFERROR(INDEX(Initiatives!$B$2:$B$500,MATCH(A437,Initiatives!$A$2:$A$500,0)),"")</f>
        <v/>
      </c>
    </row>
    <row r="438">
      <c r="Q438" s="14">
        <f>IFERROR(INDEX(Initiatives!$B$2:$B$500,MATCH(A438,Initiatives!$A$2:$A$500,0)),"")</f>
        <v/>
      </c>
    </row>
    <row r="439">
      <c r="Q439" s="14">
        <f>IFERROR(INDEX(Initiatives!$B$2:$B$500,MATCH(A439,Initiatives!$A$2:$A$500,0)),"")</f>
        <v/>
      </c>
    </row>
    <row r="440">
      <c r="Q440" s="14">
        <f>IFERROR(INDEX(Initiatives!$B$2:$B$500,MATCH(A440,Initiatives!$A$2:$A$500,0)),"")</f>
        <v/>
      </c>
    </row>
    <row r="441">
      <c r="Q441" s="14">
        <f>IFERROR(INDEX(Initiatives!$B$2:$B$500,MATCH(A441,Initiatives!$A$2:$A$500,0)),"")</f>
        <v/>
      </c>
    </row>
    <row r="442">
      <c r="Q442" s="14">
        <f>IFERROR(INDEX(Initiatives!$B$2:$B$500,MATCH(A442,Initiatives!$A$2:$A$500,0)),"")</f>
        <v/>
      </c>
    </row>
    <row r="443">
      <c r="Q443" s="14">
        <f>IFERROR(INDEX(Initiatives!$B$2:$B$500,MATCH(A443,Initiatives!$A$2:$A$500,0)),"")</f>
        <v/>
      </c>
    </row>
    <row r="444">
      <c r="Q444" s="14">
        <f>IFERROR(INDEX(Initiatives!$B$2:$B$500,MATCH(A444,Initiatives!$A$2:$A$500,0)),"")</f>
        <v/>
      </c>
    </row>
    <row r="445">
      <c r="Q445" s="14">
        <f>IFERROR(INDEX(Initiatives!$B$2:$B$500,MATCH(A445,Initiatives!$A$2:$A$500,0)),"")</f>
        <v/>
      </c>
    </row>
    <row r="446">
      <c r="Q446" s="14">
        <f>IFERROR(INDEX(Initiatives!$B$2:$B$500,MATCH(A446,Initiatives!$A$2:$A$500,0)),"")</f>
        <v/>
      </c>
    </row>
    <row r="447">
      <c r="Q447" s="14">
        <f>IFERROR(INDEX(Initiatives!$B$2:$B$500,MATCH(A447,Initiatives!$A$2:$A$500,0)),"")</f>
        <v/>
      </c>
    </row>
    <row r="448">
      <c r="Q448" s="14">
        <f>IFERROR(INDEX(Initiatives!$B$2:$B$500,MATCH(A448,Initiatives!$A$2:$A$500,0)),"")</f>
        <v/>
      </c>
    </row>
    <row r="449">
      <c r="Q449" s="14">
        <f>IFERROR(INDEX(Initiatives!$B$2:$B$500,MATCH(A449,Initiatives!$A$2:$A$500,0)),"")</f>
        <v/>
      </c>
    </row>
    <row r="450">
      <c r="Q450" s="14">
        <f>IFERROR(INDEX(Initiatives!$B$2:$B$500,MATCH(A450,Initiatives!$A$2:$A$500,0)),"")</f>
        <v/>
      </c>
    </row>
    <row r="451">
      <c r="Q451" s="14">
        <f>IFERROR(INDEX(Initiatives!$B$2:$B$500,MATCH(A451,Initiatives!$A$2:$A$500,0)),"")</f>
        <v/>
      </c>
    </row>
    <row r="452">
      <c r="Q452" s="14">
        <f>IFERROR(INDEX(Initiatives!$B$2:$B$500,MATCH(A452,Initiatives!$A$2:$A$500,0)),"")</f>
        <v/>
      </c>
    </row>
    <row r="453">
      <c r="Q453" s="14">
        <f>IFERROR(INDEX(Initiatives!$B$2:$B$500,MATCH(A453,Initiatives!$A$2:$A$500,0)),"")</f>
        <v/>
      </c>
    </row>
    <row r="454">
      <c r="Q454" s="14">
        <f>IFERROR(INDEX(Initiatives!$B$2:$B$500,MATCH(A454,Initiatives!$A$2:$A$500,0)),"")</f>
        <v/>
      </c>
    </row>
    <row r="455">
      <c r="Q455" s="14">
        <f>IFERROR(INDEX(Initiatives!$B$2:$B$500,MATCH(A455,Initiatives!$A$2:$A$500,0)),"")</f>
        <v/>
      </c>
    </row>
    <row r="456">
      <c r="Q456" s="14">
        <f>IFERROR(INDEX(Initiatives!$B$2:$B$500,MATCH(A456,Initiatives!$A$2:$A$500,0)),"")</f>
        <v/>
      </c>
    </row>
    <row r="457">
      <c r="Q457" s="14">
        <f>IFERROR(INDEX(Initiatives!$B$2:$B$500,MATCH(A457,Initiatives!$A$2:$A$500,0)),"")</f>
        <v/>
      </c>
    </row>
    <row r="458">
      <c r="Q458" s="14">
        <f>IFERROR(INDEX(Initiatives!$B$2:$B$500,MATCH(A458,Initiatives!$A$2:$A$500,0)),"")</f>
        <v/>
      </c>
    </row>
    <row r="459">
      <c r="Q459" s="14">
        <f>IFERROR(INDEX(Initiatives!$B$2:$B$500,MATCH(A459,Initiatives!$A$2:$A$500,0)),"")</f>
        <v/>
      </c>
    </row>
    <row r="460">
      <c r="Q460" s="14">
        <f>IFERROR(INDEX(Initiatives!$B$2:$B$500,MATCH(A460,Initiatives!$A$2:$A$500,0)),"")</f>
        <v/>
      </c>
    </row>
    <row r="461">
      <c r="Q461" s="14">
        <f>IFERROR(INDEX(Initiatives!$B$2:$B$500,MATCH(A461,Initiatives!$A$2:$A$500,0)),"")</f>
        <v/>
      </c>
    </row>
    <row r="462">
      <c r="Q462" s="14">
        <f>IFERROR(INDEX(Initiatives!$B$2:$B$500,MATCH(A462,Initiatives!$A$2:$A$500,0)),"")</f>
        <v/>
      </c>
    </row>
    <row r="463">
      <c r="Q463" s="14">
        <f>IFERROR(INDEX(Initiatives!$B$2:$B$500,MATCH(A463,Initiatives!$A$2:$A$500,0)),"")</f>
        <v/>
      </c>
    </row>
    <row r="464">
      <c r="Q464" s="14">
        <f>IFERROR(INDEX(Initiatives!$B$2:$B$500,MATCH(A464,Initiatives!$A$2:$A$500,0)),"")</f>
        <v/>
      </c>
    </row>
    <row r="465">
      <c r="Q465" s="14">
        <f>IFERROR(INDEX(Initiatives!$B$2:$B$500,MATCH(A465,Initiatives!$A$2:$A$500,0)),"")</f>
        <v/>
      </c>
    </row>
    <row r="466">
      <c r="Q466" s="14">
        <f>IFERROR(INDEX(Initiatives!$B$2:$B$500,MATCH(A466,Initiatives!$A$2:$A$500,0)),"")</f>
        <v/>
      </c>
    </row>
    <row r="467">
      <c r="Q467" s="14">
        <f>IFERROR(INDEX(Initiatives!$B$2:$B$500,MATCH(A467,Initiatives!$A$2:$A$500,0)),"")</f>
        <v/>
      </c>
    </row>
    <row r="468">
      <c r="Q468" s="14">
        <f>IFERROR(INDEX(Initiatives!$B$2:$B$500,MATCH(A468,Initiatives!$A$2:$A$500,0)),"")</f>
        <v/>
      </c>
    </row>
    <row r="469">
      <c r="Q469" s="14">
        <f>IFERROR(INDEX(Initiatives!$B$2:$B$500,MATCH(A469,Initiatives!$A$2:$A$500,0)),"")</f>
        <v/>
      </c>
    </row>
    <row r="470">
      <c r="Q470" s="14">
        <f>IFERROR(INDEX(Initiatives!$B$2:$B$500,MATCH(A470,Initiatives!$A$2:$A$500,0)),"")</f>
        <v/>
      </c>
    </row>
    <row r="471">
      <c r="Q471" s="14">
        <f>IFERROR(INDEX(Initiatives!$B$2:$B$500,MATCH(A471,Initiatives!$A$2:$A$500,0)),"")</f>
        <v/>
      </c>
    </row>
    <row r="472">
      <c r="Q472" s="14">
        <f>IFERROR(INDEX(Initiatives!$B$2:$B$500,MATCH(A472,Initiatives!$A$2:$A$500,0)),"")</f>
        <v/>
      </c>
    </row>
    <row r="473">
      <c r="Q473" s="14">
        <f>IFERROR(INDEX(Initiatives!$B$2:$B$500,MATCH(A473,Initiatives!$A$2:$A$500,0)),"")</f>
        <v/>
      </c>
    </row>
    <row r="474">
      <c r="Q474" s="14">
        <f>IFERROR(INDEX(Initiatives!$B$2:$B$500,MATCH(A474,Initiatives!$A$2:$A$500,0)),"")</f>
        <v/>
      </c>
    </row>
    <row r="475">
      <c r="Q475" s="14">
        <f>IFERROR(INDEX(Initiatives!$B$2:$B$500,MATCH(A475,Initiatives!$A$2:$A$500,0)),"")</f>
        <v/>
      </c>
    </row>
    <row r="476">
      <c r="Q476" s="14">
        <f>IFERROR(INDEX(Initiatives!$B$2:$B$500,MATCH(A476,Initiatives!$A$2:$A$500,0)),"")</f>
        <v/>
      </c>
    </row>
    <row r="477">
      <c r="Q477" s="14">
        <f>IFERROR(INDEX(Initiatives!$B$2:$B$500,MATCH(A477,Initiatives!$A$2:$A$500,0)),"")</f>
        <v/>
      </c>
    </row>
    <row r="478">
      <c r="Q478" s="14">
        <f>IFERROR(INDEX(Initiatives!$B$2:$B$500,MATCH(A478,Initiatives!$A$2:$A$500,0)),"")</f>
        <v/>
      </c>
    </row>
    <row r="479">
      <c r="Q479" s="14">
        <f>IFERROR(INDEX(Initiatives!$B$2:$B$500,MATCH(A479,Initiatives!$A$2:$A$500,0)),"")</f>
        <v/>
      </c>
    </row>
    <row r="480">
      <c r="Q480" s="14">
        <f>IFERROR(INDEX(Initiatives!$B$2:$B$500,MATCH(A480,Initiatives!$A$2:$A$500,0)),"")</f>
        <v/>
      </c>
    </row>
    <row r="481">
      <c r="Q481" s="14">
        <f>IFERROR(INDEX(Initiatives!$B$2:$B$500,MATCH(A481,Initiatives!$A$2:$A$500,0)),"")</f>
        <v/>
      </c>
    </row>
    <row r="482">
      <c r="Q482" s="14">
        <f>IFERROR(INDEX(Initiatives!$B$2:$B$500,MATCH(A482,Initiatives!$A$2:$A$500,0)),"")</f>
        <v/>
      </c>
    </row>
    <row r="483">
      <c r="Q483" s="14">
        <f>IFERROR(INDEX(Initiatives!$B$2:$B$500,MATCH(A483,Initiatives!$A$2:$A$500,0)),"")</f>
        <v/>
      </c>
    </row>
    <row r="484">
      <c r="Q484" s="14">
        <f>IFERROR(INDEX(Initiatives!$B$2:$B$500,MATCH(A484,Initiatives!$A$2:$A$500,0)),"")</f>
        <v/>
      </c>
    </row>
    <row r="485">
      <c r="Q485" s="14">
        <f>IFERROR(INDEX(Initiatives!$B$2:$B$500,MATCH(A485,Initiatives!$A$2:$A$500,0)),"")</f>
        <v/>
      </c>
    </row>
    <row r="486">
      <c r="Q486" s="14">
        <f>IFERROR(INDEX(Initiatives!$B$2:$B$500,MATCH(A486,Initiatives!$A$2:$A$500,0)),"")</f>
        <v/>
      </c>
    </row>
    <row r="487">
      <c r="Q487" s="14">
        <f>IFERROR(INDEX(Initiatives!$B$2:$B$500,MATCH(A487,Initiatives!$A$2:$A$500,0)),"")</f>
        <v/>
      </c>
    </row>
    <row r="488">
      <c r="Q488" s="14">
        <f>IFERROR(INDEX(Initiatives!$B$2:$B$500,MATCH(A488,Initiatives!$A$2:$A$500,0)),"")</f>
        <v/>
      </c>
    </row>
    <row r="489">
      <c r="Q489" s="14">
        <f>IFERROR(INDEX(Initiatives!$B$2:$B$500,MATCH(A489,Initiatives!$A$2:$A$500,0)),"")</f>
        <v/>
      </c>
    </row>
    <row r="490">
      <c r="Q490" s="14">
        <f>IFERROR(INDEX(Initiatives!$B$2:$B$500,MATCH(A490,Initiatives!$A$2:$A$500,0)),"")</f>
        <v/>
      </c>
    </row>
    <row r="491">
      <c r="Q491" s="14">
        <f>IFERROR(INDEX(Initiatives!$B$2:$B$500,MATCH(A491,Initiatives!$A$2:$A$500,0)),"")</f>
        <v/>
      </c>
    </row>
    <row r="492">
      <c r="Q492" s="14">
        <f>IFERROR(INDEX(Initiatives!$B$2:$B$500,MATCH(A492,Initiatives!$A$2:$A$500,0)),"")</f>
        <v/>
      </c>
    </row>
    <row r="493">
      <c r="Q493" s="14">
        <f>IFERROR(INDEX(Initiatives!$B$2:$B$500,MATCH(A493,Initiatives!$A$2:$A$500,0)),"")</f>
        <v/>
      </c>
    </row>
    <row r="494">
      <c r="Q494" s="14">
        <f>IFERROR(INDEX(Initiatives!$B$2:$B$500,MATCH(A494,Initiatives!$A$2:$A$500,0)),"")</f>
        <v/>
      </c>
    </row>
    <row r="495">
      <c r="Q495" s="14">
        <f>IFERROR(INDEX(Initiatives!$B$2:$B$500,MATCH(A495,Initiatives!$A$2:$A$500,0)),"")</f>
        <v/>
      </c>
    </row>
    <row r="496">
      <c r="Q496" s="14">
        <f>IFERROR(INDEX(Initiatives!$B$2:$B$500,MATCH(A496,Initiatives!$A$2:$A$500,0)),"")</f>
        <v/>
      </c>
    </row>
    <row r="497">
      <c r="Q497" s="14">
        <f>IFERROR(INDEX(Initiatives!$B$2:$B$500,MATCH(A497,Initiatives!$A$2:$A$500,0)),"")</f>
        <v/>
      </c>
    </row>
    <row r="498">
      <c r="Q498" s="14">
        <f>IFERROR(INDEX(Initiatives!$B$2:$B$500,MATCH(A498,Initiatives!$A$2:$A$500,0)),"")</f>
        <v/>
      </c>
    </row>
    <row r="499">
      <c r="Q499" s="14">
        <f>IFERROR(INDEX(Initiatives!$B$2:$B$500,MATCH(A499,Initiatives!$A$2:$A$500,0)),"")</f>
        <v/>
      </c>
    </row>
    <row r="500">
      <c r="Q500" s="14">
        <f>IFERROR(INDEX(Initiatives!$B$2:$B$500,MATCH(A500,Initiatives!$A$2:$A$500,0)),"")</f>
        <v/>
      </c>
    </row>
  </sheetData>
  <autoFilter ref="A1:Q41"/>
  <dataValidations count="7">
    <dataValidation sqref="A2:A2000" showDropDown="0" showInputMessage="0" showErrorMessage="1" allowBlank="1" errorTitle="Choose from the list" error="Pick a value from the dropdown." type="list">
      <formula1>Initiatives!$A$2:$A$500</formula1>
    </dataValidation>
    <dataValidation sqref="D2:D2000" showDropDown="0" showInputMessage="0" showErrorMessage="1" allowBlank="1" errorTitle="Choose from the list" error="Pick a value from the dropdown." type="list">
      <formula1>"input,activity,output,outcome,impact"</formula1>
    </dataValidation>
    <dataValidation sqref="F2:F2000" showDropDown="0" showInputMessage="0" showErrorMessage="1" allowBlank="1" errorTitle="Choose from the list" error="Pick a value from the dropdown." type="list">
      <formula1>"increase,decrease"</formula1>
    </dataValidation>
    <dataValidation sqref="G2:G2000" showDropDown="0" showInputMessage="0" showErrorMessage="1" allowBlank="1" errorTitle="Choose from the list" error="Pick a value from the dropdown." type="list">
      <formula1>"point,cumulative"</formula1>
    </dataValidation>
    <dataValidation sqref="K2:K2000" showDropDown="0" showInputMessage="0" showErrorMessage="1" allowBlank="1" errorTitle="Choose from the list" error="Pick a value from the dropdown." type="list">
      <formula1>"weekly,monthly,quarterly,annually,ad-hoc"</formula1>
    </dataValidation>
    <dataValidation sqref="M2:M2000" showDropDown="0" showInputMessage="0" showErrorMessage="1" allowBlank="1" errorTitle="Choose from the list" error="Pick a value from the dropdown." type="list">
      <formula1>"Yes,No"</formula1>
    </dataValidation>
    <dataValidation sqref="N2:N2000" showDropDown="0" showInputMessage="0" showErrorMessage="1" allowBlank="1" errorTitle="Choose from the list" error="Pick a value from the dropdown." type="list">
      <formula1>"external,internal,both"</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G210"/>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12" customWidth="1" min="3" max="3"/>
    <col width="10" customWidth="1" min="4" max="4"/>
    <col width="14" customWidth="1" min="5" max="5"/>
    <col width="40" customWidth="1" min="6" max="6"/>
    <col width="18" customWidth="1" min="7" max="7"/>
  </cols>
  <sheetData>
    <row r="1" ht="30" customHeight="1">
      <c r="A1" s="5" t="inlineStr">
        <is>
          <t>Initiative</t>
        </is>
      </c>
      <c r="B1" s="5" t="inlineStr">
        <is>
          <t>Metric</t>
        </is>
      </c>
      <c r="C1" s="5" t="inlineStr">
        <is>
          <t>Date</t>
        </is>
      </c>
      <c r="D1" s="5" t="inlineStr">
        <is>
          <t>Value</t>
        </is>
      </c>
      <c r="E1" s="5" t="inlineStr">
        <is>
          <t>Confidence</t>
        </is>
      </c>
      <c r="F1" s="5" t="inlineStr">
        <is>
          <t>Note</t>
        </is>
      </c>
      <c r="G1" s="5" t="inlineStr">
        <is>
          <t>Logged by</t>
        </is>
      </c>
    </row>
    <row r="2">
      <c r="A2" s="10" t="inlineStr">
        <is>
          <t>Newsroom Digital Skills Training</t>
        </is>
      </c>
      <c r="B2" s="3" t="inlineStr">
        <is>
          <t>Training grants disbursed</t>
        </is>
      </c>
      <c r="C2" s="12" t="n">
        <v>46113</v>
      </c>
      <c r="D2" s="10" t="n">
        <v>8000</v>
      </c>
      <c r="E2" s="10" t="inlineStr">
        <is>
          <t>measured</t>
        </is>
      </c>
      <c r="F2" s="3" t="n"/>
      <c r="G2" s="10" t="inlineStr">
        <is>
          <t>Nadia Hassan</t>
        </is>
      </c>
    </row>
    <row r="3">
      <c r="A3" s="10" t="inlineStr">
        <is>
          <t>Newsroom Digital Skills Training</t>
        </is>
      </c>
      <c r="B3" s="3" t="inlineStr">
        <is>
          <t>Training grants disbursed</t>
        </is>
      </c>
      <c r="C3" s="12" t="n">
        <v>46143</v>
      </c>
      <c r="D3" s="10" t="n">
        <v>6800</v>
      </c>
      <c r="E3" s="10" t="inlineStr">
        <is>
          <t>measured</t>
        </is>
      </c>
      <c r="F3" s="3" t="n"/>
      <c r="G3" s="10" t="inlineStr">
        <is>
          <t>Tom Reeves</t>
        </is>
      </c>
    </row>
    <row r="4">
      <c r="A4" s="10" t="inlineStr">
        <is>
          <t>Newsroom Digital Skills Training</t>
        </is>
      </c>
      <c r="B4" s="3" t="inlineStr">
        <is>
          <t>Training grants disbursed</t>
        </is>
      </c>
      <c r="C4" s="12" t="n">
        <v>46174</v>
      </c>
      <c r="D4" s="10" t="n">
        <v>9200</v>
      </c>
      <c r="E4" s="10" t="inlineStr">
        <is>
          <t>measured</t>
        </is>
      </c>
      <c r="F4" s="3" t="n"/>
      <c r="G4" s="10" t="inlineStr">
        <is>
          <t>Nadia Hassan</t>
        </is>
      </c>
    </row>
    <row r="5">
      <c r="A5" s="10" t="inlineStr">
        <is>
          <t>Newsroom Digital Skills Training</t>
        </is>
      </c>
      <c r="B5" s="3" t="inlineStr">
        <is>
          <t>Training grants disbursed</t>
        </is>
      </c>
      <c r="C5" s="12" t="n">
        <v>46204</v>
      </c>
      <c r="D5" s="10" t="n">
        <v>8000</v>
      </c>
      <c r="E5" s="10" t="inlineStr">
        <is>
          <t>measured</t>
        </is>
      </c>
      <c r="F5" s="3" t="n"/>
      <c r="G5" s="10" t="inlineStr">
        <is>
          <t>Tom Reeves</t>
        </is>
      </c>
    </row>
    <row r="6">
      <c r="A6" s="10" t="inlineStr">
        <is>
          <t>Newsroom Digital Skills Training</t>
        </is>
      </c>
      <c r="B6" s="3" t="inlineStr">
        <is>
          <t>Training grants disbursed</t>
        </is>
      </c>
      <c r="C6" s="12" t="n">
        <v>46235</v>
      </c>
      <c r="D6" s="10" t="n">
        <v>6800</v>
      </c>
      <c r="E6" s="10" t="inlineStr">
        <is>
          <t>measured</t>
        </is>
      </c>
      <c r="F6" s="3" t="n"/>
      <c r="G6" s="10" t="inlineStr">
        <is>
          <t>Nadia Hassan</t>
        </is>
      </c>
    </row>
    <row r="7">
      <c r="A7" s="10" t="inlineStr">
        <is>
          <t>Newsroom Digital Skills Training</t>
        </is>
      </c>
      <c r="B7" s="3" t="inlineStr">
        <is>
          <t>Training grants disbursed</t>
        </is>
      </c>
      <c r="C7" s="12" t="n">
        <v>46266</v>
      </c>
      <c r="D7" s="10" t="n">
        <v>9200</v>
      </c>
      <c r="E7" s="10" t="inlineStr">
        <is>
          <t>measured</t>
        </is>
      </c>
      <c r="F7" s="3" t="n"/>
      <c r="G7" s="10" t="inlineStr">
        <is>
          <t>Tom Reeves</t>
        </is>
      </c>
    </row>
    <row r="8">
      <c r="A8" s="10" t="inlineStr">
        <is>
          <t>Newsroom Digital Skills Training</t>
        </is>
      </c>
      <c r="B8" s="3" t="inlineStr">
        <is>
          <t>Training sessions delivered</t>
        </is>
      </c>
      <c r="C8" s="12" t="n">
        <v>46113</v>
      </c>
      <c r="D8" s="10" t="n">
        <v>4</v>
      </c>
      <c r="E8" s="10" t="inlineStr">
        <is>
          <t>measured</t>
        </is>
      </c>
      <c r="F8" s="3" t="n"/>
      <c r="G8" s="10" t="inlineStr">
        <is>
          <t>Nadia Hassan</t>
        </is>
      </c>
    </row>
    <row r="9">
      <c r="A9" s="10" t="inlineStr">
        <is>
          <t>Newsroom Digital Skills Training</t>
        </is>
      </c>
      <c r="B9" s="3" t="inlineStr">
        <is>
          <t>Training sessions delivered</t>
        </is>
      </c>
      <c r="C9" s="12" t="n">
        <v>46143</v>
      </c>
      <c r="D9" s="10" t="n">
        <v>4</v>
      </c>
      <c r="E9" s="10" t="inlineStr">
        <is>
          <t>measured</t>
        </is>
      </c>
      <c r="F9" s="3" t="n"/>
      <c r="G9" s="10" t="inlineStr">
        <is>
          <t>Tom Reeves</t>
        </is>
      </c>
    </row>
    <row r="10">
      <c r="A10" s="10" t="inlineStr">
        <is>
          <t>Newsroom Digital Skills Training</t>
        </is>
      </c>
      <c r="B10" s="3" t="inlineStr">
        <is>
          <t>Training sessions delivered</t>
        </is>
      </c>
      <c r="C10" s="12" t="n">
        <v>46174</v>
      </c>
      <c r="D10" s="10" t="n">
        <v>5</v>
      </c>
      <c r="E10" s="10" t="inlineStr">
        <is>
          <t>measured</t>
        </is>
      </c>
      <c r="F10" s="3" t="n"/>
      <c r="G10" s="10" t="inlineStr">
        <is>
          <t>Nadia Hassan</t>
        </is>
      </c>
    </row>
    <row r="11">
      <c r="A11" s="10" t="inlineStr">
        <is>
          <t>Newsroom Digital Skills Training</t>
        </is>
      </c>
      <c r="B11" s="3" t="inlineStr">
        <is>
          <t>Training sessions delivered</t>
        </is>
      </c>
      <c r="C11" s="12" t="n">
        <v>46204</v>
      </c>
      <c r="D11" s="10" t="n">
        <v>5</v>
      </c>
      <c r="E11" s="10" t="inlineStr">
        <is>
          <t>measured</t>
        </is>
      </c>
      <c r="F11" s="3" t="n"/>
      <c r="G11" s="10" t="inlineStr">
        <is>
          <t>Tom Reeves</t>
        </is>
      </c>
    </row>
    <row r="12">
      <c r="A12" s="10" t="inlineStr">
        <is>
          <t>Newsroom Digital Skills Training</t>
        </is>
      </c>
      <c r="B12" s="3" t="inlineStr">
        <is>
          <t>Training sessions delivered</t>
        </is>
      </c>
      <c r="C12" s="12" t="n">
        <v>46235</v>
      </c>
      <c r="D12" s="10" t="n">
        <v>4</v>
      </c>
      <c r="E12" s="10" t="inlineStr">
        <is>
          <t>measured</t>
        </is>
      </c>
      <c r="F12" s="3" t="n"/>
      <c r="G12" s="10" t="inlineStr">
        <is>
          <t>Nadia Hassan</t>
        </is>
      </c>
    </row>
    <row r="13">
      <c r="A13" s="10" t="inlineStr">
        <is>
          <t>Newsroom Digital Skills Training</t>
        </is>
      </c>
      <c r="B13" s="3" t="inlineStr">
        <is>
          <t>Training sessions delivered</t>
        </is>
      </c>
      <c r="C13" s="12" t="n">
        <v>46266</v>
      </c>
      <c r="D13" s="10" t="n">
        <v>5</v>
      </c>
      <c r="E13" s="10" t="inlineStr">
        <is>
          <t>measured</t>
        </is>
      </c>
      <c r="F13" s="3" t="n"/>
      <c r="G13" s="10" t="inlineStr">
        <is>
          <t>Tom Reeves</t>
        </is>
      </c>
    </row>
    <row r="14">
      <c r="A14" s="10" t="inlineStr">
        <is>
          <t>Newsroom Digital Skills Training</t>
        </is>
      </c>
      <c r="B14" s="3" t="inlineStr">
        <is>
          <t>Newsrooms onboarded to digital toolkit</t>
        </is>
      </c>
      <c r="C14" s="12" t="n">
        <v>46113</v>
      </c>
      <c r="D14" s="10" t="n">
        <v>3</v>
      </c>
      <c r="E14" s="10" t="inlineStr">
        <is>
          <t>measured</t>
        </is>
      </c>
      <c r="F14" s="3" t="n"/>
      <c r="G14" s="10" t="inlineStr">
        <is>
          <t>Nadia Hassan</t>
        </is>
      </c>
    </row>
    <row r="15">
      <c r="A15" s="10" t="inlineStr">
        <is>
          <t>Newsroom Digital Skills Training</t>
        </is>
      </c>
      <c r="B15" s="3" t="inlineStr">
        <is>
          <t>Newsrooms onboarded to digital toolkit</t>
        </is>
      </c>
      <c r="C15" s="12" t="n">
        <v>46143</v>
      </c>
      <c r="D15" s="10" t="n">
        <v>5</v>
      </c>
      <c r="E15" s="10" t="inlineStr">
        <is>
          <t>measured</t>
        </is>
      </c>
      <c r="F15" s="3" t="n"/>
      <c r="G15" s="10" t="inlineStr">
        <is>
          <t>Tom Reeves</t>
        </is>
      </c>
    </row>
    <row r="16">
      <c r="A16" s="10" t="inlineStr">
        <is>
          <t>Newsroom Digital Skills Training</t>
        </is>
      </c>
      <c r="B16" s="3" t="inlineStr">
        <is>
          <t>Newsrooms onboarded to digital toolkit</t>
        </is>
      </c>
      <c r="C16" s="12" t="n">
        <v>46174</v>
      </c>
      <c r="D16" s="10" t="n">
        <v>6</v>
      </c>
      <c r="E16" s="10" t="inlineStr">
        <is>
          <t>measured</t>
        </is>
      </c>
      <c r="F16" s="3" t="n"/>
      <c r="G16" s="10" t="inlineStr">
        <is>
          <t>Nadia Hassan</t>
        </is>
      </c>
    </row>
    <row r="17">
      <c r="A17" s="10" t="inlineStr">
        <is>
          <t>Newsroom Digital Skills Training</t>
        </is>
      </c>
      <c r="B17" s="3" t="inlineStr">
        <is>
          <t>Newsrooms onboarded to digital toolkit</t>
        </is>
      </c>
      <c r="C17" s="12" t="n">
        <v>46204</v>
      </c>
      <c r="D17" s="10" t="n">
        <v>4</v>
      </c>
      <c r="E17" s="10" t="inlineStr">
        <is>
          <t>measured</t>
        </is>
      </c>
      <c r="F17" s="3" t="n"/>
      <c r="G17" s="10" t="inlineStr">
        <is>
          <t>Tom Reeves</t>
        </is>
      </c>
    </row>
    <row r="18">
      <c r="A18" s="10" t="inlineStr">
        <is>
          <t>Newsroom Digital Skills Training</t>
        </is>
      </c>
      <c r="B18" s="3" t="inlineStr">
        <is>
          <t>Newsrooms onboarded to digital toolkit</t>
        </is>
      </c>
      <c r="C18" s="12" t="n">
        <v>46235</v>
      </c>
      <c r="D18" s="10" t="n">
        <v>5</v>
      </c>
      <c r="E18" s="10" t="inlineStr">
        <is>
          <t>measured</t>
        </is>
      </c>
      <c r="F18" s="3" t="n"/>
      <c r="G18" s="10" t="inlineStr">
        <is>
          <t>Nadia Hassan</t>
        </is>
      </c>
    </row>
    <row r="19">
      <c r="A19" s="10" t="inlineStr">
        <is>
          <t>Newsroom Digital Skills Training</t>
        </is>
      </c>
      <c r="B19" s="3" t="inlineStr">
        <is>
          <t>Newsrooms onboarded to digital toolkit</t>
        </is>
      </c>
      <c r="C19" s="12" t="n">
        <v>46266</v>
      </c>
      <c r="D19" s="10" t="n">
        <v>4</v>
      </c>
      <c r="E19" s="10" t="inlineStr">
        <is>
          <t>measured</t>
        </is>
      </c>
      <c r="F19" s="3" t="n"/>
      <c r="G19" s="10" t="inlineStr">
        <is>
          <t>Tom Reeves</t>
        </is>
      </c>
    </row>
    <row r="20">
      <c r="A20" s="10" t="inlineStr">
        <is>
          <t>Newsroom Digital Skills Training</t>
        </is>
      </c>
      <c r="B20" s="3" t="inlineStr">
        <is>
          <t>Journalists trained</t>
        </is>
      </c>
      <c r="C20" s="12" t="n">
        <v>46113</v>
      </c>
      <c r="D20" s="10" t="n">
        <v>18</v>
      </c>
      <c r="E20" s="10" t="inlineStr">
        <is>
          <t>measured</t>
        </is>
      </c>
      <c r="F20" s="3" t="n"/>
      <c r="G20" s="10" t="inlineStr">
        <is>
          <t>Nadia Hassan</t>
        </is>
      </c>
    </row>
    <row r="21">
      <c r="A21" s="10" t="inlineStr">
        <is>
          <t>Newsroom Digital Skills Training</t>
        </is>
      </c>
      <c r="B21" s="3" t="inlineStr">
        <is>
          <t>Journalists trained</t>
        </is>
      </c>
      <c r="C21" s="12" t="n">
        <v>46143</v>
      </c>
      <c r="D21" s="10" t="n">
        <v>22</v>
      </c>
      <c r="E21" s="10" t="inlineStr">
        <is>
          <t>measured</t>
        </is>
      </c>
      <c r="F21" s="3" t="n"/>
      <c r="G21" s="10" t="inlineStr">
        <is>
          <t>Tom Reeves</t>
        </is>
      </c>
    </row>
    <row r="22">
      <c r="A22" s="10" t="inlineStr">
        <is>
          <t>Newsroom Digital Skills Training</t>
        </is>
      </c>
      <c r="B22" s="3" t="inlineStr">
        <is>
          <t>Journalists trained</t>
        </is>
      </c>
      <c r="C22" s="12" t="n">
        <v>46174</v>
      </c>
      <c r="D22" s="10" t="n">
        <v>30</v>
      </c>
      <c r="E22" s="10" t="inlineStr">
        <is>
          <t>measured</t>
        </is>
      </c>
      <c r="F22" s="3" t="n"/>
      <c r="G22" s="10" t="inlineStr">
        <is>
          <t>Nadia Hassan</t>
        </is>
      </c>
    </row>
    <row r="23">
      <c r="A23" s="10" t="inlineStr">
        <is>
          <t>Newsroom Digital Skills Training</t>
        </is>
      </c>
      <c r="B23" s="3" t="inlineStr">
        <is>
          <t>Journalists trained</t>
        </is>
      </c>
      <c r="C23" s="12" t="n">
        <v>46204</v>
      </c>
      <c r="D23" s="10" t="n">
        <v>28</v>
      </c>
      <c r="E23" s="10" t="inlineStr">
        <is>
          <t>measured</t>
        </is>
      </c>
      <c r="F23" s="3" t="n"/>
      <c r="G23" s="10" t="inlineStr">
        <is>
          <t>Tom Reeves</t>
        </is>
      </c>
    </row>
    <row r="24">
      <c r="A24" s="10" t="inlineStr">
        <is>
          <t>Newsroom Digital Skills Training</t>
        </is>
      </c>
      <c r="B24" s="3" t="inlineStr">
        <is>
          <t>Journalists trained</t>
        </is>
      </c>
      <c r="C24" s="12" t="n">
        <v>46235</v>
      </c>
      <c r="D24" s="10" t="n">
        <v>24</v>
      </c>
      <c r="E24" s="10" t="inlineStr">
        <is>
          <t>measured</t>
        </is>
      </c>
      <c r="F24" s="3" t="n"/>
      <c r="G24" s="10" t="inlineStr">
        <is>
          <t>Nadia Hassan</t>
        </is>
      </c>
    </row>
    <row r="25">
      <c r="A25" s="10" t="inlineStr">
        <is>
          <t>Newsroom Digital Skills Training</t>
        </is>
      </c>
      <c r="B25" s="3" t="inlineStr">
        <is>
          <t>Journalists trained</t>
        </is>
      </c>
      <c r="C25" s="12" t="n">
        <v>46266</v>
      </c>
      <c r="D25" s="10" t="n">
        <v>26</v>
      </c>
      <c r="E25" s="10" t="inlineStr">
        <is>
          <t>measured</t>
        </is>
      </c>
      <c r="F25" s="3" t="n"/>
      <c r="G25" s="10" t="inlineStr">
        <is>
          <t>Tom Reeves</t>
        </is>
      </c>
    </row>
    <row r="26">
      <c r="A26" s="10" t="inlineStr">
        <is>
          <t>Newsroom Digital Skills Training</t>
        </is>
      </c>
      <c r="B26" s="3" t="inlineStr">
        <is>
          <t>Newsrooms using analytics weekly</t>
        </is>
      </c>
      <c r="C26" s="12" t="n">
        <v>46113</v>
      </c>
      <c r="D26" s="10" t="n">
        <v>2</v>
      </c>
      <c r="E26" s="10" t="inlineStr">
        <is>
          <t>measured</t>
        </is>
      </c>
      <c r="F26" s="3" t="n"/>
      <c r="G26" s="10" t="inlineStr">
        <is>
          <t>Nadia Hassan</t>
        </is>
      </c>
    </row>
    <row r="27">
      <c r="A27" s="10" t="inlineStr">
        <is>
          <t>Newsroom Digital Skills Training</t>
        </is>
      </c>
      <c r="B27" s="3" t="inlineStr">
        <is>
          <t>Newsrooms using analytics weekly</t>
        </is>
      </c>
      <c r="C27" s="12" t="n">
        <v>46143</v>
      </c>
      <c r="D27" s="10" t="n">
        <v>5</v>
      </c>
      <c r="E27" s="10" t="inlineStr">
        <is>
          <t>measured</t>
        </is>
      </c>
      <c r="F27" s="3" t="n"/>
      <c r="G27" s="10" t="inlineStr">
        <is>
          <t>Tom Reeves</t>
        </is>
      </c>
    </row>
    <row r="28">
      <c r="A28" s="10" t="inlineStr">
        <is>
          <t>Newsroom Digital Skills Training</t>
        </is>
      </c>
      <c r="B28" s="3" t="inlineStr">
        <is>
          <t>Newsrooms using analytics weekly</t>
        </is>
      </c>
      <c r="C28" s="12" t="n">
        <v>46174</v>
      </c>
      <c r="D28" s="10" t="n">
        <v>8</v>
      </c>
      <c r="E28" s="10" t="inlineStr">
        <is>
          <t>measured</t>
        </is>
      </c>
      <c r="F28" s="3" t="n"/>
      <c r="G28" s="10" t="inlineStr">
        <is>
          <t>Nadia Hassan</t>
        </is>
      </c>
    </row>
    <row r="29">
      <c r="A29" s="10" t="inlineStr">
        <is>
          <t>Newsroom Digital Skills Training</t>
        </is>
      </c>
      <c r="B29" s="3" t="inlineStr">
        <is>
          <t>Newsrooms using analytics weekly</t>
        </is>
      </c>
      <c r="C29" s="12" t="n">
        <v>46204</v>
      </c>
      <c r="D29" s="10" t="n">
        <v>10</v>
      </c>
      <c r="E29" s="10" t="inlineStr">
        <is>
          <t>measured</t>
        </is>
      </c>
      <c r="F29" s="3" t="n"/>
      <c r="G29" s="10" t="inlineStr">
        <is>
          <t>Tom Reeves</t>
        </is>
      </c>
    </row>
    <row r="30">
      <c r="A30" s="10" t="inlineStr">
        <is>
          <t>Newsroom Digital Skills Training</t>
        </is>
      </c>
      <c r="B30" s="3" t="inlineStr">
        <is>
          <t>Newsrooms using analytics weekly</t>
        </is>
      </c>
      <c r="C30" s="12" t="n">
        <v>46235</v>
      </c>
      <c r="D30" s="10" t="n">
        <v>11</v>
      </c>
      <c r="E30" s="10" t="inlineStr">
        <is>
          <t>measured</t>
        </is>
      </c>
      <c r="F30" s="3" t="n"/>
      <c r="G30" s="10" t="inlineStr">
        <is>
          <t>Nadia Hassan</t>
        </is>
      </c>
    </row>
    <row r="31">
      <c r="A31" s="10" t="inlineStr">
        <is>
          <t>Newsroom Digital Skills Training</t>
        </is>
      </c>
      <c r="B31" s="3" t="inlineStr">
        <is>
          <t>Newsrooms using analytics weekly</t>
        </is>
      </c>
      <c r="C31" s="12" t="n">
        <v>46266</v>
      </c>
      <c r="D31" s="10" t="n">
        <v>12</v>
      </c>
      <c r="E31" s="10" t="inlineStr">
        <is>
          <t>measured</t>
        </is>
      </c>
      <c r="F31" s="3" t="n"/>
      <c r="G31" s="10" t="inlineStr">
        <is>
          <t>Tom Reeves</t>
        </is>
      </c>
    </row>
    <row r="32">
      <c r="A32" s="10" t="inlineStr">
        <is>
          <t>Newsroom Digital Skills Training</t>
        </is>
      </c>
      <c r="B32" s="3" t="inlineStr">
        <is>
          <t>Average monthly digital audience per newsroom</t>
        </is>
      </c>
      <c r="C32" s="12" t="n">
        <v>46113</v>
      </c>
      <c r="D32" s="10" t="n">
        <v>12100</v>
      </c>
      <c r="E32" s="10" t="inlineStr">
        <is>
          <t>estimated</t>
        </is>
      </c>
      <c r="F32" s="3" t="n"/>
      <c r="G32" s="10" t="inlineStr">
        <is>
          <t>Nadia Hassan</t>
        </is>
      </c>
    </row>
    <row r="33">
      <c r="A33" s="10" t="inlineStr">
        <is>
          <t>Newsroom Digital Skills Training</t>
        </is>
      </c>
      <c r="B33" s="3" t="inlineStr">
        <is>
          <t>Average monthly digital audience per newsroom</t>
        </is>
      </c>
      <c r="C33" s="12" t="n">
        <v>46143</v>
      </c>
      <c r="D33" s="10" t="n">
        <v>12400</v>
      </c>
      <c r="E33" s="10" t="inlineStr">
        <is>
          <t>estimated</t>
        </is>
      </c>
      <c r="F33" s="3" t="n"/>
      <c r="G33" s="10" t="inlineStr">
        <is>
          <t>Tom Reeves</t>
        </is>
      </c>
    </row>
    <row r="34">
      <c r="A34" s="10" t="inlineStr">
        <is>
          <t>Newsroom Digital Skills Training</t>
        </is>
      </c>
      <c r="B34" s="3" t="inlineStr">
        <is>
          <t>Average monthly digital audience per newsroom</t>
        </is>
      </c>
      <c r="C34" s="12" t="n">
        <v>46174</v>
      </c>
      <c r="D34" s="10" t="n">
        <v>12900</v>
      </c>
      <c r="E34" s="10" t="inlineStr">
        <is>
          <t>estimated</t>
        </is>
      </c>
      <c r="F34" s="3" t="inlineStr">
        <is>
          <t>Jump partly from the YouTube series driving traffic to partner sites.</t>
        </is>
      </c>
      <c r="G34" s="10" t="inlineStr">
        <is>
          <t>Nadia Hassan</t>
        </is>
      </c>
    </row>
    <row r="35">
      <c r="A35" s="10" t="inlineStr">
        <is>
          <t>Newsroom Digital Skills Training</t>
        </is>
      </c>
      <c r="B35" s="3" t="inlineStr">
        <is>
          <t>Average monthly digital audience per newsroom</t>
        </is>
      </c>
      <c r="C35" s="12" t="n">
        <v>46204</v>
      </c>
      <c r="D35" s="10" t="n">
        <v>13100</v>
      </c>
      <c r="E35" s="10" t="inlineStr">
        <is>
          <t>estimated</t>
        </is>
      </c>
      <c r="F35" s="3" t="n"/>
      <c r="G35" s="10" t="inlineStr">
        <is>
          <t>Tom Reeves</t>
        </is>
      </c>
    </row>
    <row r="36">
      <c r="A36" s="10" t="inlineStr">
        <is>
          <t>Newsroom Digital Skills Training</t>
        </is>
      </c>
      <c r="B36" s="3" t="inlineStr">
        <is>
          <t>Average monthly digital audience per newsroom</t>
        </is>
      </c>
      <c r="C36" s="12" t="n">
        <v>46235</v>
      </c>
      <c r="D36" s="10" t="n">
        <v>13300</v>
      </c>
      <c r="E36" s="10" t="inlineStr">
        <is>
          <t>estimated</t>
        </is>
      </c>
      <c r="F36" s="3" t="n"/>
      <c r="G36" s="10" t="inlineStr">
        <is>
          <t>Nadia Hassan</t>
        </is>
      </c>
    </row>
    <row r="37">
      <c r="A37" s="10" t="inlineStr">
        <is>
          <t>Newsroom Digital Skills Training</t>
        </is>
      </c>
      <c r="B37" s="3" t="inlineStr">
        <is>
          <t>Average monthly digital audience per newsroom</t>
        </is>
      </c>
      <c r="C37" s="12" t="n">
        <v>46266</v>
      </c>
      <c r="D37" s="10" t="n">
        <v>13500</v>
      </c>
      <c r="E37" s="10" t="inlineStr">
        <is>
          <t>estimated</t>
        </is>
      </c>
      <c r="F37" s="3" t="n"/>
      <c r="G37" s="10" t="inlineStr">
        <is>
          <t>Tom Reeves</t>
        </is>
      </c>
    </row>
    <row r="38">
      <c r="A38" s="10" t="inlineStr">
        <is>
          <t>Newsroom Digital Skills Training</t>
        </is>
      </c>
      <c r="B38" s="3" t="inlineStr">
        <is>
          <t>Newsrooms with a new revenue stream</t>
        </is>
      </c>
      <c r="C38" s="12" t="n">
        <v>46113</v>
      </c>
      <c r="D38" s="10" t="n">
        <v>15</v>
      </c>
      <c r="E38" s="10" t="inlineStr">
        <is>
          <t>self-reported</t>
        </is>
      </c>
      <c r="F38" s="3" t="n"/>
      <c r="G38" s="10" t="inlineStr">
        <is>
          <t>Nadia Hassan</t>
        </is>
      </c>
    </row>
    <row r="39">
      <c r="A39" s="10" t="inlineStr">
        <is>
          <t>Newsroom Digital Skills Training</t>
        </is>
      </c>
      <c r="B39" s="3" t="inlineStr">
        <is>
          <t>Newsrooms with a new revenue stream</t>
        </is>
      </c>
      <c r="C39" s="12" t="n">
        <v>46143</v>
      </c>
      <c r="D39" s="10" t="n">
        <v>18</v>
      </c>
      <c r="E39" s="10" t="inlineStr">
        <is>
          <t>self-reported</t>
        </is>
      </c>
      <c r="F39" s="3" t="n"/>
      <c r="G39" s="10" t="inlineStr">
        <is>
          <t>Tom Reeves</t>
        </is>
      </c>
    </row>
    <row r="40">
      <c r="A40" s="10" t="inlineStr">
        <is>
          <t>Newsroom Digital Skills Training</t>
        </is>
      </c>
      <c r="B40" s="3" t="inlineStr">
        <is>
          <t>Newsrooms with a new revenue stream</t>
        </is>
      </c>
      <c r="C40" s="12" t="n">
        <v>46174</v>
      </c>
      <c r="D40" s="10" t="n">
        <v>22</v>
      </c>
      <c r="E40" s="10" t="inlineStr">
        <is>
          <t>self-reported</t>
        </is>
      </c>
      <c r="F40" s="3" t="n"/>
      <c r="G40" s="10" t="inlineStr">
        <is>
          <t>Nadia Hassan</t>
        </is>
      </c>
    </row>
    <row r="41">
      <c r="A41" s="10" t="inlineStr">
        <is>
          <t>Newsroom Digital Skills Training</t>
        </is>
      </c>
      <c r="B41" s="3" t="inlineStr">
        <is>
          <t>Newsrooms with a new revenue stream</t>
        </is>
      </c>
      <c r="C41" s="12" t="n">
        <v>46204</v>
      </c>
      <c r="D41" s="10" t="n">
        <v>26</v>
      </c>
      <c r="E41" s="10" t="inlineStr">
        <is>
          <t>self-reported</t>
        </is>
      </c>
      <c r="F41" s="3" t="n"/>
      <c r="G41" s="10" t="inlineStr">
        <is>
          <t>Tom Reeves</t>
        </is>
      </c>
    </row>
    <row r="42">
      <c r="A42" s="10" t="inlineStr">
        <is>
          <t>Newsroom Digital Skills Training</t>
        </is>
      </c>
      <c r="B42" s="3" t="inlineStr">
        <is>
          <t>Newsrooms with a new revenue stream</t>
        </is>
      </c>
      <c r="C42" s="12" t="n">
        <v>46235</v>
      </c>
      <c r="D42" s="10" t="n">
        <v>30</v>
      </c>
      <c r="E42" s="10" t="inlineStr">
        <is>
          <t>self-reported</t>
        </is>
      </c>
      <c r="F42" s="3" t="n"/>
      <c r="G42" s="10" t="inlineStr">
        <is>
          <t>Nadia Hassan</t>
        </is>
      </c>
    </row>
    <row r="43">
      <c r="A43" s="10" t="inlineStr">
        <is>
          <t>Newsroom Digital Skills Training</t>
        </is>
      </c>
      <c r="B43" s="3" t="inlineStr">
        <is>
          <t>Newsrooms with a new revenue stream</t>
        </is>
      </c>
      <c r="C43" s="12" t="n">
        <v>46266</v>
      </c>
      <c r="D43" s="10" t="n">
        <v>33</v>
      </c>
      <c r="E43" s="10" t="inlineStr">
        <is>
          <t>self-reported</t>
        </is>
      </c>
      <c r="F43" s="3" t="n"/>
      <c r="G43" s="10" t="inlineStr">
        <is>
          <t>Tom Reeves</t>
        </is>
      </c>
    </row>
    <row r="44">
      <c r="A44" s="10" t="inlineStr">
        <is>
          <t>Newsroom Digital Skills Training</t>
        </is>
      </c>
      <c r="B44" s="3" t="inlineStr">
        <is>
          <t>Trainees applying new skills</t>
        </is>
      </c>
      <c r="C44" s="12" t="n">
        <v>46174</v>
      </c>
      <c r="D44" s="10" t="n">
        <v>58</v>
      </c>
      <c r="E44" s="10" t="inlineStr">
        <is>
          <t>self-reported</t>
        </is>
      </c>
      <c r="F44" s="3" t="n"/>
      <c r="G44" s="10" t="inlineStr">
        <is>
          <t>Nadia Hassan</t>
        </is>
      </c>
    </row>
    <row r="45">
      <c r="A45" s="10" t="inlineStr">
        <is>
          <t>Newsroom Digital Skills Training</t>
        </is>
      </c>
      <c r="B45" s="3" t="inlineStr">
        <is>
          <t>Trainees applying new skills</t>
        </is>
      </c>
      <c r="C45" s="12" t="n">
        <v>46266</v>
      </c>
      <c r="D45" s="10" t="n">
        <v>64</v>
      </c>
      <c r="E45" s="10" t="inlineStr">
        <is>
          <t>self-reported</t>
        </is>
      </c>
      <c r="F45" s="3" t="n"/>
      <c r="G45" s="10" t="inlineStr">
        <is>
          <t>Tom Reeves</t>
        </is>
      </c>
    </row>
    <row r="46">
      <c r="A46" s="10" t="inlineStr">
        <is>
          <t>Newsroom Digital Skills Training</t>
        </is>
      </c>
      <c r="B46" s="3" t="inlineStr">
        <is>
          <t>Reader trust score</t>
        </is>
      </c>
      <c r="C46" s="12" t="n">
        <v>46174</v>
      </c>
      <c r="D46" s="10" t="n">
        <v>6.4</v>
      </c>
      <c r="E46" s="10" t="inlineStr">
        <is>
          <t>self-reported</t>
        </is>
      </c>
      <c r="F46" s="3" t="n"/>
      <c r="G46" s="10" t="inlineStr">
        <is>
          <t>Nadia Hassan</t>
        </is>
      </c>
    </row>
    <row r="47">
      <c r="A47" s="10" t="inlineStr">
        <is>
          <t>Newsroom Digital Skills Training</t>
        </is>
      </c>
      <c r="B47" s="3" t="inlineStr">
        <is>
          <t>Reader trust score</t>
        </is>
      </c>
      <c r="C47" s="12" t="n">
        <v>46266</v>
      </c>
      <c r="D47" s="10" t="n">
        <v>6.5</v>
      </c>
      <c r="E47" s="10" t="inlineStr">
        <is>
          <t>self-reported</t>
        </is>
      </c>
      <c r="F47" s="3" t="n"/>
      <c r="G47" s="10" t="inlineStr">
        <is>
          <t>Tom Reeves</t>
        </is>
      </c>
    </row>
    <row r="48">
      <c r="A48" s="10" t="inlineStr">
        <is>
          <t>Newsroom Digital Skills Training</t>
        </is>
      </c>
      <c r="B48" s="3" t="inlineStr">
        <is>
          <t>Financially sustainable newsrooms</t>
        </is>
      </c>
      <c r="C48" s="12" t="n">
        <v>46113</v>
      </c>
      <c r="D48" s="10" t="n">
        <v>8</v>
      </c>
      <c r="E48" s="10" t="inlineStr">
        <is>
          <t>modelled</t>
        </is>
      </c>
      <c r="F48" s="3" t="n"/>
      <c r="G48" s="10" t="inlineStr">
        <is>
          <t>Nadia Hassan</t>
        </is>
      </c>
    </row>
    <row r="49">
      <c r="A49" s="10" t="inlineStr">
        <is>
          <t>Newsroom Digital Skills Training</t>
        </is>
      </c>
      <c r="B49" s="3" t="inlineStr">
        <is>
          <t>Financially sustainable newsrooms</t>
        </is>
      </c>
      <c r="C49" s="12" t="n">
        <v>46204</v>
      </c>
      <c r="D49" s="10" t="n">
        <v>10</v>
      </c>
      <c r="E49" s="10" t="inlineStr">
        <is>
          <t>modelled</t>
        </is>
      </c>
      <c r="F49" s="3" t="n"/>
      <c r="G49" s="10" t="inlineStr">
        <is>
          <t>Tom Reeves</t>
        </is>
      </c>
    </row>
    <row r="50">
      <c r="A50" s="10" t="inlineStr">
        <is>
          <t>Newsroom Digital Skills Training</t>
        </is>
      </c>
      <c r="B50" s="3" t="inlineStr">
        <is>
          <t>Financially sustainable newsrooms</t>
        </is>
      </c>
      <c r="C50" s="12" t="n">
        <v>46266</v>
      </c>
      <c r="D50" s="10" t="n">
        <v>11</v>
      </c>
      <c r="E50" s="10" t="inlineStr">
        <is>
          <t>modelled</t>
        </is>
      </c>
      <c r="F50" s="3" t="inlineStr">
        <is>
          <t>Modelled from 14 of 22 newsrooms' returns; remainder due in October.</t>
        </is>
      </c>
      <c r="G50" s="10" t="inlineStr">
        <is>
          <t>Tom Reeves</t>
        </is>
      </c>
    </row>
    <row r="51">
      <c r="A51" s="10" t="inlineStr">
        <is>
          <t>Newsroom Champions (internal)</t>
        </is>
      </c>
      <c r="B51" s="3" t="inlineStr">
        <is>
          <t>Colleagues completing news-literacy training</t>
        </is>
      </c>
      <c r="C51" s="12" t="n">
        <v>46113</v>
      </c>
      <c r="D51" s="10" t="n">
        <v>30</v>
      </c>
      <c r="E51" s="10" t="inlineStr">
        <is>
          <t>measured</t>
        </is>
      </c>
      <c r="F51" s="3" t="n"/>
      <c r="G51" s="10" t="inlineStr">
        <is>
          <t>Tom Reeves</t>
        </is>
      </c>
    </row>
    <row r="52">
      <c r="A52" s="10" t="inlineStr">
        <is>
          <t>Newsroom Champions (internal)</t>
        </is>
      </c>
      <c r="B52" s="3" t="inlineStr">
        <is>
          <t>Colleagues completing news-literacy training</t>
        </is>
      </c>
      <c r="C52" s="12" t="n">
        <v>46143</v>
      </c>
      <c r="D52" s="10" t="n">
        <v>45</v>
      </c>
      <c r="E52" s="10" t="inlineStr">
        <is>
          <t>measured</t>
        </is>
      </c>
      <c r="F52" s="3" t="n"/>
      <c r="G52" s="10" t="inlineStr">
        <is>
          <t>Tom Reeves</t>
        </is>
      </c>
    </row>
    <row r="53">
      <c r="A53" s="10" t="inlineStr">
        <is>
          <t>Newsroom Champions (internal)</t>
        </is>
      </c>
      <c r="B53" s="3" t="inlineStr">
        <is>
          <t>Colleagues completing news-literacy training</t>
        </is>
      </c>
      <c r="C53" s="12" t="n">
        <v>46174</v>
      </c>
      <c r="D53" s="10" t="n">
        <v>40</v>
      </c>
      <c r="E53" s="10" t="inlineStr">
        <is>
          <t>measured</t>
        </is>
      </c>
      <c r="F53" s="3" t="n"/>
      <c r="G53" s="10" t="inlineStr">
        <is>
          <t>Tom Reeves</t>
        </is>
      </c>
    </row>
    <row r="54">
      <c r="A54" s="10" t="inlineStr">
        <is>
          <t>Newsroom Champions (internal)</t>
        </is>
      </c>
      <c r="B54" s="3" t="inlineStr">
        <is>
          <t>Colleagues completing news-literacy training</t>
        </is>
      </c>
      <c r="C54" s="12" t="n">
        <v>46204</v>
      </c>
      <c r="D54" s="10" t="n">
        <v>25</v>
      </c>
      <c r="E54" s="10" t="inlineStr">
        <is>
          <t>measured</t>
        </is>
      </c>
      <c r="F54" s="3" t="n"/>
      <c r="G54" s="10" t="inlineStr">
        <is>
          <t>Tom Reeves</t>
        </is>
      </c>
    </row>
    <row r="55">
      <c r="A55" s="10" t="inlineStr">
        <is>
          <t>Newsroom Champions (internal)</t>
        </is>
      </c>
      <c r="B55" s="3" t="inlineStr">
        <is>
          <t>Colleagues completing news-literacy training</t>
        </is>
      </c>
      <c r="C55" s="12" t="n">
        <v>46235</v>
      </c>
      <c r="D55" s="10" t="n">
        <v>20</v>
      </c>
      <c r="E55" s="10" t="inlineStr">
        <is>
          <t>measured</t>
        </is>
      </c>
      <c r="F55" s="3" t="n"/>
      <c r="G55" s="10" t="inlineStr">
        <is>
          <t>Tom Reeves</t>
        </is>
      </c>
    </row>
    <row r="56">
      <c r="A56" s="10" t="inlineStr">
        <is>
          <t>Newsroom Champions (internal)</t>
        </is>
      </c>
      <c r="B56" s="3" t="inlineStr">
        <is>
          <t>Colleagues completing news-literacy training</t>
        </is>
      </c>
      <c r="C56" s="12" t="n">
        <v>46266</v>
      </c>
      <c r="D56" s="10" t="n">
        <v>35</v>
      </c>
      <c r="E56" s="10" t="inlineStr">
        <is>
          <t>measured</t>
        </is>
      </c>
      <c r="F56" s="3" t="n"/>
      <c r="G56" s="10" t="inlineStr">
        <is>
          <t>Tom Reeves</t>
        </is>
      </c>
    </row>
    <row r="57">
      <c r="A57" s="10" t="inlineStr">
        <is>
          <t>Newsroom Champions (internal)</t>
        </is>
      </c>
      <c r="B57" s="3" t="inlineStr">
        <is>
          <t>Certified internal champions</t>
        </is>
      </c>
      <c r="C57" s="12" t="n">
        <v>46113</v>
      </c>
      <c r="D57" s="10" t="n">
        <v>0</v>
      </c>
      <c r="E57" s="10" t="inlineStr">
        <is>
          <t>measured</t>
        </is>
      </c>
      <c r="F57" s="3" t="n"/>
      <c r="G57" s="10" t="inlineStr">
        <is>
          <t>Tom Reeves</t>
        </is>
      </c>
    </row>
    <row r="58">
      <c r="A58" s="10" t="inlineStr">
        <is>
          <t>Newsroom Champions (internal)</t>
        </is>
      </c>
      <c r="B58" s="3" t="inlineStr">
        <is>
          <t>Certified internal champions</t>
        </is>
      </c>
      <c r="C58" s="12" t="n">
        <v>46143</v>
      </c>
      <c r="D58" s="10" t="n">
        <v>4</v>
      </c>
      <c r="E58" s="10" t="inlineStr">
        <is>
          <t>measured</t>
        </is>
      </c>
      <c r="F58" s="3" t="n"/>
      <c r="G58" s="10" t="inlineStr">
        <is>
          <t>Tom Reeves</t>
        </is>
      </c>
    </row>
    <row r="59">
      <c r="A59" s="10" t="inlineStr">
        <is>
          <t>Newsroom Champions (internal)</t>
        </is>
      </c>
      <c r="B59" s="3" t="inlineStr">
        <is>
          <t>Certified internal champions</t>
        </is>
      </c>
      <c r="C59" s="12" t="n">
        <v>46174</v>
      </c>
      <c r="D59" s="10" t="n">
        <v>3</v>
      </c>
      <c r="E59" s="10" t="inlineStr">
        <is>
          <t>measured</t>
        </is>
      </c>
      <c r="F59" s="3" t="n"/>
      <c r="G59" s="10" t="inlineStr">
        <is>
          <t>Tom Reeves</t>
        </is>
      </c>
    </row>
    <row r="60">
      <c r="A60" s="10" t="inlineStr">
        <is>
          <t>Newsroom Champions (internal)</t>
        </is>
      </c>
      <c r="B60" s="3" t="inlineStr">
        <is>
          <t>Certified internal champions</t>
        </is>
      </c>
      <c r="C60" s="12" t="n">
        <v>46204</v>
      </c>
      <c r="D60" s="10" t="n">
        <v>2</v>
      </c>
      <c r="E60" s="10" t="inlineStr">
        <is>
          <t>measured</t>
        </is>
      </c>
      <c r="F60" s="3" t="n"/>
      <c r="G60" s="10" t="inlineStr">
        <is>
          <t>Tom Reeves</t>
        </is>
      </c>
    </row>
    <row r="61">
      <c r="A61" s="10" t="inlineStr">
        <is>
          <t>Newsroom Champions (internal)</t>
        </is>
      </c>
      <c r="B61" s="3" t="inlineStr">
        <is>
          <t>Certified internal champions</t>
        </is>
      </c>
      <c r="C61" s="12" t="n">
        <v>46235</v>
      </c>
      <c r="D61" s="10" t="n">
        <v>1</v>
      </c>
      <c r="E61" s="10" t="inlineStr">
        <is>
          <t>measured</t>
        </is>
      </c>
      <c r="F61" s="3" t="n"/>
      <c r="G61" s="10" t="inlineStr">
        <is>
          <t>Tom Reeves</t>
        </is>
      </c>
    </row>
    <row r="62">
      <c r="A62" s="10" t="inlineStr">
        <is>
          <t>Newsroom Champions (internal)</t>
        </is>
      </c>
      <c r="B62" s="3" t="inlineStr">
        <is>
          <t>Certified internal champions</t>
        </is>
      </c>
      <c r="C62" s="12" t="n">
        <v>46266</v>
      </c>
      <c r="D62" s="10" t="n">
        <v>3</v>
      </c>
      <c r="E62" s="10" t="inlineStr">
        <is>
          <t>measured</t>
        </is>
      </c>
      <c r="F62" s="3" t="n"/>
      <c r="G62" s="10" t="inlineStr">
        <is>
          <t>Tom Reeves</t>
        </is>
      </c>
    </row>
    <row r="63">
      <c r="A63" s="10" t="inlineStr">
        <is>
          <t>Newsroom Champions (internal)</t>
        </is>
      </c>
      <c r="B63" s="3" t="inlineStr">
        <is>
          <t>Colleagues confident explaining the programme</t>
        </is>
      </c>
      <c r="C63" s="12" t="n">
        <v>46174</v>
      </c>
      <c r="D63" s="10" t="n">
        <v>41</v>
      </c>
      <c r="E63" s="10" t="inlineStr">
        <is>
          <t>self-reported</t>
        </is>
      </c>
      <c r="F63" s="3" t="n"/>
      <c r="G63" s="10" t="inlineStr">
        <is>
          <t>Tom Reeves</t>
        </is>
      </c>
    </row>
    <row r="64">
      <c r="A64" s="10" t="inlineStr">
        <is>
          <t>Newsroom Champions (internal)</t>
        </is>
      </c>
      <c r="B64" s="3" t="inlineStr">
        <is>
          <t>Colleagues confident explaining the programme</t>
        </is>
      </c>
      <c r="C64" s="12" t="n">
        <v>46266</v>
      </c>
      <c r="D64" s="10" t="n">
        <v>44</v>
      </c>
      <c r="E64" s="10" t="inlineStr">
        <is>
          <t>self-reported</t>
        </is>
      </c>
      <c r="F64" s="3" t="n"/>
      <c r="G64" s="10" t="inlineStr">
        <is>
          <t>Tom Reeves</t>
        </is>
      </c>
    </row>
    <row r="65">
      <c r="A65" s="10" t="inlineStr">
        <is>
          <t>Newsroom Champions (internal)</t>
        </is>
      </c>
      <c r="B65" s="3" t="inlineStr">
        <is>
          <t>Teams using programme case studies</t>
        </is>
      </c>
      <c r="C65" s="12" t="n">
        <v>46113</v>
      </c>
      <c r="D65" s="10" t="n">
        <v>1</v>
      </c>
      <c r="E65" s="10" t="inlineStr">
        <is>
          <t>measured</t>
        </is>
      </c>
      <c r="F65" s="3" t="n"/>
      <c r="G65" s="10" t="inlineStr">
        <is>
          <t>Tom Reeves</t>
        </is>
      </c>
    </row>
    <row r="66">
      <c r="A66" s="10" t="inlineStr">
        <is>
          <t>Newsroom Champions (internal)</t>
        </is>
      </c>
      <c r="B66" s="3" t="inlineStr">
        <is>
          <t>Teams using programme case studies</t>
        </is>
      </c>
      <c r="C66" s="12" t="n">
        <v>46143</v>
      </c>
      <c r="D66" s="10" t="n">
        <v>2</v>
      </c>
      <c r="E66" s="10" t="inlineStr">
        <is>
          <t>measured</t>
        </is>
      </c>
      <c r="F66" s="3" t="n"/>
      <c r="G66" s="10" t="inlineStr">
        <is>
          <t>Tom Reeves</t>
        </is>
      </c>
    </row>
    <row r="67">
      <c r="A67" s="10" t="inlineStr">
        <is>
          <t>Newsroom Champions (internal)</t>
        </is>
      </c>
      <c r="B67" s="3" t="inlineStr">
        <is>
          <t>Teams using programme case studies</t>
        </is>
      </c>
      <c r="C67" s="12" t="n">
        <v>46174</v>
      </c>
      <c r="D67" s="10" t="n">
        <v>4</v>
      </c>
      <c r="E67" s="10" t="inlineStr">
        <is>
          <t>measured</t>
        </is>
      </c>
      <c r="F67" s="3" t="n"/>
      <c r="G67" s="10" t="inlineStr">
        <is>
          <t>Tom Reeves</t>
        </is>
      </c>
    </row>
    <row r="68">
      <c r="A68" s="10" t="inlineStr">
        <is>
          <t>Newsroom Champions (internal)</t>
        </is>
      </c>
      <c r="B68" s="3" t="inlineStr">
        <is>
          <t>Teams using programme case studies</t>
        </is>
      </c>
      <c r="C68" s="12" t="n">
        <v>46204</v>
      </c>
      <c r="D68" s="10" t="n">
        <v>5</v>
      </c>
      <c r="E68" s="10" t="inlineStr">
        <is>
          <t>measured</t>
        </is>
      </c>
      <c r="F68" s="3" t="n"/>
      <c r="G68" s="10" t="inlineStr">
        <is>
          <t>Tom Reeves</t>
        </is>
      </c>
    </row>
    <row r="69">
      <c r="A69" s="10" t="inlineStr">
        <is>
          <t>Newsroom Champions (internal)</t>
        </is>
      </c>
      <c r="B69" s="3" t="inlineStr">
        <is>
          <t>Teams using programme case studies</t>
        </is>
      </c>
      <c r="C69" s="12" t="n">
        <v>46235</v>
      </c>
      <c r="D69" s="10" t="n">
        <v>7</v>
      </c>
      <c r="E69" s="10" t="inlineStr">
        <is>
          <t>measured</t>
        </is>
      </c>
      <c r="F69" s="3" t="n"/>
      <c r="G69" s="10" t="inlineStr">
        <is>
          <t>Tom Reeves</t>
        </is>
      </c>
    </row>
    <row r="70">
      <c r="A70" s="10" t="inlineStr">
        <is>
          <t>Newsroom Champions (internal)</t>
        </is>
      </c>
      <c r="B70" s="3" t="inlineStr">
        <is>
          <t>Teams using programme case studies</t>
        </is>
      </c>
      <c r="C70" s="12" t="n">
        <v>46266</v>
      </c>
      <c r="D70" s="10" t="n">
        <v>9</v>
      </c>
      <c r="E70" s="10" t="inlineStr">
        <is>
          <t>measured</t>
        </is>
      </c>
      <c r="F70" s="3" t="n"/>
      <c r="G70" s="10" t="inlineStr">
        <is>
          <t>Tom Reeves</t>
        </is>
      </c>
    </row>
    <row r="71">
      <c r="A71" s="10" t="inlineStr">
        <is>
          <t>Newsroom Tools Partnership</t>
        </is>
      </c>
      <c r="B71" s="3" t="inlineStr">
        <is>
          <t>Partner newsrooms live on the tools</t>
        </is>
      </c>
      <c r="C71" s="12" t="n">
        <v>46113</v>
      </c>
      <c r="D71" s="10" t="n">
        <v>6</v>
      </c>
      <c r="E71" s="10" t="inlineStr">
        <is>
          <t>measured</t>
        </is>
      </c>
      <c r="F71" s="3" t="n"/>
      <c r="G71" s="10" t="inlineStr">
        <is>
          <t>Tom Reeves</t>
        </is>
      </c>
    </row>
    <row r="72">
      <c r="A72" s="10" t="inlineStr">
        <is>
          <t>Newsroom Tools Partnership</t>
        </is>
      </c>
      <c r="B72" s="3" t="inlineStr">
        <is>
          <t>Partner newsrooms live on the tools</t>
        </is>
      </c>
      <c r="C72" s="12" t="n">
        <v>46143</v>
      </c>
      <c r="D72" s="10" t="n">
        <v>12</v>
      </c>
      <c r="E72" s="10" t="inlineStr">
        <is>
          <t>measured</t>
        </is>
      </c>
      <c r="F72" s="3" t="n"/>
      <c r="G72" s="10" t="inlineStr">
        <is>
          <t>Tom Reeves</t>
        </is>
      </c>
    </row>
    <row r="73">
      <c r="A73" s="10" t="inlineStr">
        <is>
          <t>Newsroom Tools Partnership</t>
        </is>
      </c>
      <c r="B73" s="3" t="inlineStr">
        <is>
          <t>Partner newsrooms live on the tools</t>
        </is>
      </c>
      <c r="C73" s="12" t="n">
        <v>46174</v>
      </c>
      <c r="D73" s="10" t="n">
        <v>19</v>
      </c>
      <c r="E73" s="10" t="inlineStr">
        <is>
          <t>measured</t>
        </is>
      </c>
      <c r="F73" s="3" t="n"/>
      <c r="G73" s="10" t="inlineStr">
        <is>
          <t>Tom Reeves</t>
        </is>
      </c>
    </row>
    <row r="74">
      <c r="A74" s="10" t="inlineStr">
        <is>
          <t>Newsroom Tools Partnership</t>
        </is>
      </c>
      <c r="B74" s="3" t="inlineStr">
        <is>
          <t>Partner newsrooms live on the tools</t>
        </is>
      </c>
      <c r="C74" s="12" t="n">
        <v>46204</v>
      </c>
      <c r="D74" s="10" t="n">
        <v>24</v>
      </c>
      <c r="E74" s="10" t="inlineStr">
        <is>
          <t>measured</t>
        </is>
      </c>
      <c r="F74" s="3" t="n"/>
      <c r="G74" s="10" t="inlineStr">
        <is>
          <t>Tom Reeves</t>
        </is>
      </c>
    </row>
    <row r="75">
      <c r="A75" s="10" t="inlineStr">
        <is>
          <t>Newsroom Tools Partnership</t>
        </is>
      </c>
      <c r="B75" s="3" t="inlineStr">
        <is>
          <t>Partner newsrooms live on the tools</t>
        </is>
      </c>
      <c r="C75" s="12" t="n">
        <v>46235</v>
      </c>
      <c r="D75" s="10" t="n">
        <v>29</v>
      </c>
      <c r="E75" s="10" t="inlineStr">
        <is>
          <t>measured</t>
        </is>
      </c>
      <c r="F75" s="3" t="n"/>
      <c r="G75" s="10" t="inlineStr">
        <is>
          <t>Tom Reeves</t>
        </is>
      </c>
    </row>
    <row r="76">
      <c r="A76" s="10" t="inlineStr">
        <is>
          <t>Newsroom Tools Partnership</t>
        </is>
      </c>
      <c r="B76" s="3" t="inlineStr">
        <is>
          <t>Partner newsrooms live on the tools</t>
        </is>
      </c>
      <c r="C76" s="12" t="n">
        <v>46266</v>
      </c>
      <c r="D76" s="10" t="n">
        <v>33</v>
      </c>
      <c r="E76" s="10" t="inlineStr">
        <is>
          <t>measured</t>
        </is>
      </c>
      <c r="F76" s="3" t="n"/>
      <c r="G76" s="10" t="inlineStr">
        <is>
          <t>Tom Reeves</t>
        </is>
      </c>
    </row>
    <row r="77">
      <c r="A77" s="10" t="inlineStr">
        <is>
          <t>Newsroom Tools Partnership</t>
        </is>
      </c>
      <c r="B77" s="3" t="inlineStr">
        <is>
          <t>Weekly active journalists on the tools</t>
        </is>
      </c>
      <c r="C77" s="12" t="n">
        <v>46113</v>
      </c>
      <c r="D77" s="10" t="n">
        <v>80</v>
      </c>
      <c r="E77" s="10" t="inlineStr">
        <is>
          <t>measured</t>
        </is>
      </c>
      <c r="F77" s="3" t="n"/>
      <c r="G77" s="10" t="inlineStr">
        <is>
          <t>Tom Reeves</t>
        </is>
      </c>
    </row>
    <row r="78">
      <c r="A78" s="10" t="inlineStr">
        <is>
          <t>Newsroom Tools Partnership</t>
        </is>
      </c>
      <c r="B78" s="3" t="inlineStr">
        <is>
          <t>Weekly active journalists on the tools</t>
        </is>
      </c>
      <c r="C78" s="12" t="n">
        <v>46143</v>
      </c>
      <c r="D78" s="10" t="n">
        <v>160</v>
      </c>
      <c r="E78" s="10" t="inlineStr">
        <is>
          <t>measured</t>
        </is>
      </c>
      <c r="F78" s="3" t="n"/>
      <c r="G78" s="10" t="inlineStr">
        <is>
          <t>Tom Reeves</t>
        </is>
      </c>
    </row>
    <row r="79">
      <c r="A79" s="10" t="inlineStr">
        <is>
          <t>Newsroom Tools Partnership</t>
        </is>
      </c>
      <c r="B79" s="3" t="inlineStr">
        <is>
          <t>Weekly active journalists on the tools</t>
        </is>
      </c>
      <c r="C79" s="12" t="n">
        <v>46174</v>
      </c>
      <c r="D79" s="10" t="n">
        <v>240</v>
      </c>
      <c r="E79" s="10" t="inlineStr">
        <is>
          <t>measured</t>
        </is>
      </c>
      <c r="F79" s="3" t="n"/>
      <c r="G79" s="10" t="inlineStr">
        <is>
          <t>Tom Reeves</t>
        </is>
      </c>
    </row>
    <row r="80">
      <c r="A80" s="10" t="inlineStr">
        <is>
          <t>Newsroom Tools Partnership</t>
        </is>
      </c>
      <c r="B80" s="3" t="inlineStr">
        <is>
          <t>Weekly active journalists on the tools</t>
        </is>
      </c>
      <c r="C80" s="12" t="n">
        <v>46204</v>
      </c>
      <c r="D80" s="10" t="n">
        <v>300</v>
      </c>
      <c r="E80" s="10" t="inlineStr">
        <is>
          <t>measured</t>
        </is>
      </c>
      <c r="F80" s="3" t="n"/>
      <c r="G80" s="10" t="inlineStr">
        <is>
          <t>Tom Reeves</t>
        </is>
      </c>
    </row>
    <row r="81">
      <c r="A81" s="10" t="inlineStr">
        <is>
          <t>Newsroom Tools Partnership</t>
        </is>
      </c>
      <c r="B81" s="3" t="inlineStr">
        <is>
          <t>Weekly active journalists on the tools</t>
        </is>
      </c>
      <c r="C81" s="12" t="n">
        <v>46235</v>
      </c>
      <c r="D81" s="10" t="n">
        <v>350</v>
      </c>
      <c r="E81" s="10" t="inlineStr">
        <is>
          <t>measured</t>
        </is>
      </c>
      <c r="F81" s="3" t="n"/>
      <c r="G81" s="10" t="inlineStr">
        <is>
          <t>Tom Reeves</t>
        </is>
      </c>
    </row>
    <row r="82">
      <c r="A82" s="10" t="inlineStr">
        <is>
          <t>Newsroom Tools Partnership</t>
        </is>
      </c>
      <c r="B82" s="3" t="inlineStr">
        <is>
          <t>Weekly active journalists on the tools</t>
        </is>
      </c>
      <c r="C82" s="12" t="n">
        <v>46266</v>
      </c>
      <c r="D82" s="10" t="n">
        <v>390</v>
      </c>
      <c r="E82" s="10" t="inlineStr">
        <is>
          <t>measured</t>
        </is>
      </c>
      <c r="F82" s="3" t="n"/>
      <c r="G82" s="10" t="inlineStr">
        <is>
          <t>Tom Reeves</t>
        </is>
      </c>
    </row>
    <row r="83">
      <c r="A83" s="10" t="inlineStr">
        <is>
          <t>Newsroom Tools Partnership</t>
        </is>
      </c>
      <c r="B83" s="3" t="inlineStr">
        <is>
          <t>Minutes saved per story</t>
        </is>
      </c>
      <c r="C83" s="12" t="n">
        <v>46174</v>
      </c>
      <c r="D83" s="10" t="n">
        <v>9</v>
      </c>
      <c r="E83" s="10" t="inlineStr">
        <is>
          <t>self-reported</t>
        </is>
      </c>
      <c r="F83" s="3" t="n"/>
      <c r="G83" s="10" t="inlineStr">
        <is>
          <t>Tom Reeves</t>
        </is>
      </c>
    </row>
    <row r="84">
      <c r="A84" s="10" t="inlineStr">
        <is>
          <t>Newsroom Tools Partnership</t>
        </is>
      </c>
      <c r="B84" s="3" t="inlineStr">
        <is>
          <t>Minutes saved per story</t>
        </is>
      </c>
      <c r="C84" s="12" t="n">
        <v>46266</v>
      </c>
      <c r="D84" s="10" t="n">
        <v>12</v>
      </c>
      <c r="E84" s="10" t="inlineStr">
        <is>
          <t>self-reported</t>
        </is>
      </c>
      <c r="F84" s="3" t="n"/>
      <c r="G84" s="10" t="inlineStr">
        <is>
          <t>Tom Reeves</t>
        </is>
      </c>
    </row>
    <row r="85">
      <c r="A85" s="10" t="inlineStr">
        <is>
          <t>Newsroom Tools Partnership</t>
        </is>
      </c>
      <c r="B85" s="3" t="inlineStr">
        <is>
          <t>Stories published with partner tools</t>
        </is>
      </c>
      <c r="C85" s="12" t="n">
        <v>46113</v>
      </c>
      <c r="D85" s="10" t="n">
        <v>300</v>
      </c>
      <c r="E85" s="10" t="inlineStr">
        <is>
          <t>measured</t>
        </is>
      </c>
      <c r="F85" s="3" t="n"/>
      <c r="G85" s="10" t="inlineStr">
        <is>
          <t>Tom Reeves</t>
        </is>
      </c>
    </row>
    <row r="86">
      <c r="A86" s="10" t="inlineStr">
        <is>
          <t>Newsroom Tools Partnership</t>
        </is>
      </c>
      <c r="B86" s="3" t="inlineStr">
        <is>
          <t>Stories published with partner tools</t>
        </is>
      </c>
      <c r="C86" s="12" t="n">
        <v>46143</v>
      </c>
      <c r="D86" s="10" t="n">
        <v>450</v>
      </c>
      <c r="E86" s="10" t="inlineStr">
        <is>
          <t>measured</t>
        </is>
      </c>
      <c r="F86" s="3" t="n"/>
      <c r="G86" s="10" t="inlineStr">
        <is>
          <t>Tom Reeves</t>
        </is>
      </c>
    </row>
    <row r="87">
      <c r="A87" s="10" t="inlineStr">
        <is>
          <t>Newsroom Tools Partnership</t>
        </is>
      </c>
      <c r="B87" s="3" t="inlineStr">
        <is>
          <t>Stories published with partner tools</t>
        </is>
      </c>
      <c r="C87" s="12" t="n">
        <v>46174</v>
      </c>
      <c r="D87" s="10" t="n">
        <v>600</v>
      </c>
      <c r="E87" s="10" t="inlineStr">
        <is>
          <t>measured</t>
        </is>
      </c>
      <c r="F87" s="3" t="n"/>
      <c r="G87" s="10" t="inlineStr">
        <is>
          <t>Tom Reeves</t>
        </is>
      </c>
    </row>
    <row r="88">
      <c r="A88" s="10" t="inlineStr">
        <is>
          <t>Newsroom Tools Partnership</t>
        </is>
      </c>
      <c r="B88" s="3" t="inlineStr">
        <is>
          <t>Stories published with partner tools</t>
        </is>
      </c>
      <c r="C88" s="12" t="n">
        <v>46204</v>
      </c>
      <c r="D88" s="10" t="n">
        <v>700</v>
      </c>
      <c r="E88" s="10" t="inlineStr">
        <is>
          <t>measured</t>
        </is>
      </c>
      <c r="F88" s="3" t="n"/>
      <c r="G88" s="10" t="inlineStr">
        <is>
          <t>Tom Reeves</t>
        </is>
      </c>
    </row>
    <row r="89">
      <c r="A89" s="10" t="inlineStr">
        <is>
          <t>Newsroom Tools Partnership</t>
        </is>
      </c>
      <c r="B89" s="3" t="inlineStr">
        <is>
          <t>Stories published with partner tools</t>
        </is>
      </c>
      <c r="C89" s="12" t="n">
        <v>46235</v>
      </c>
      <c r="D89" s="10" t="n">
        <v>750</v>
      </c>
      <c r="E89" s="10" t="inlineStr">
        <is>
          <t>measured</t>
        </is>
      </c>
      <c r="F89" s="3" t="n"/>
      <c r="G89" s="10" t="inlineStr">
        <is>
          <t>Tom Reeves</t>
        </is>
      </c>
    </row>
    <row r="90">
      <c r="A90" s="10" t="inlineStr">
        <is>
          <t>Newsroom Tools Partnership</t>
        </is>
      </c>
      <c r="B90" s="3" t="inlineStr">
        <is>
          <t>Stories published with partner tools</t>
        </is>
      </c>
      <c r="C90" s="12" t="n">
        <v>46266</v>
      </c>
      <c r="D90" s="10" t="n">
        <v>800</v>
      </c>
      <c r="E90" s="10" t="inlineStr">
        <is>
          <t>measured</t>
        </is>
      </c>
      <c r="F90" s="3" t="n"/>
      <c r="G90" s="10" t="inlineStr">
        <is>
          <t>Tom Reeves</t>
        </is>
      </c>
    </row>
    <row r="91">
      <c r="A91" s="10" t="inlineStr">
        <is>
          <t>Newsroom Tools Partnership</t>
        </is>
      </c>
      <c r="B91" s="3" t="inlineStr">
        <is>
          <t>Partner satisfaction (NPS)</t>
        </is>
      </c>
      <c r="C91" s="12" t="n">
        <v>46174</v>
      </c>
      <c r="D91" s="10" t="n">
        <v>26</v>
      </c>
      <c r="E91" s="10" t="inlineStr">
        <is>
          <t>self-reported</t>
        </is>
      </c>
      <c r="F91" s="3" t="n"/>
      <c r="G91" s="10" t="inlineStr">
        <is>
          <t>Tom Reeves</t>
        </is>
      </c>
    </row>
    <row r="92">
      <c r="A92" s="10" t="inlineStr">
        <is>
          <t>Newsroom Tools Partnership</t>
        </is>
      </c>
      <c r="B92" s="3" t="inlineStr">
        <is>
          <t>Partner satisfaction (NPS)</t>
        </is>
      </c>
      <c r="C92" s="12" t="n">
        <v>46266</v>
      </c>
      <c r="D92" s="10" t="n">
        <v>31</v>
      </c>
      <c r="E92" s="10" t="inlineStr">
        <is>
          <t>self-reported</t>
        </is>
      </c>
      <c r="F92" s="3" t="n"/>
      <c r="G92" s="10" t="inlineStr">
        <is>
          <t>Tom Reeves</t>
        </is>
      </c>
    </row>
    <row r="93">
      <c r="A93" s="10" t="inlineStr">
        <is>
          <t>Product Feedback Loop (internal)</t>
        </is>
      </c>
      <c r="B93" s="3" t="inlineStr">
        <is>
          <t>Newsroom feedback sessions with product teams</t>
        </is>
      </c>
      <c r="C93" s="12" t="n">
        <v>46113</v>
      </c>
      <c r="D93" s="10" t="n">
        <v>1</v>
      </c>
      <c r="E93" s="10" t="inlineStr">
        <is>
          <t>measured</t>
        </is>
      </c>
      <c r="F93" s="3" t="n"/>
      <c r="G93" s="10" t="inlineStr">
        <is>
          <t>Tom Reeves</t>
        </is>
      </c>
    </row>
    <row r="94">
      <c r="A94" s="10" t="inlineStr">
        <is>
          <t>Product Feedback Loop (internal)</t>
        </is>
      </c>
      <c r="B94" s="3" t="inlineStr">
        <is>
          <t>Newsroom feedback sessions with product teams</t>
        </is>
      </c>
      <c r="C94" s="12" t="n">
        <v>46143</v>
      </c>
      <c r="D94" s="10" t="n">
        <v>2</v>
      </c>
      <c r="E94" s="10" t="inlineStr">
        <is>
          <t>measured</t>
        </is>
      </c>
      <c r="F94" s="3" t="n"/>
      <c r="G94" s="10" t="inlineStr">
        <is>
          <t>Tom Reeves</t>
        </is>
      </c>
    </row>
    <row r="95">
      <c r="A95" s="10" t="inlineStr">
        <is>
          <t>Product Feedback Loop (internal)</t>
        </is>
      </c>
      <c r="B95" s="3" t="inlineStr">
        <is>
          <t>Newsroom feedback sessions with product teams</t>
        </is>
      </c>
      <c r="C95" s="12" t="n">
        <v>46174</v>
      </c>
      <c r="D95" s="10" t="n">
        <v>2</v>
      </c>
      <c r="E95" s="10" t="inlineStr">
        <is>
          <t>measured</t>
        </is>
      </c>
      <c r="F95" s="3" t="n"/>
      <c r="G95" s="10" t="inlineStr">
        <is>
          <t>Tom Reeves</t>
        </is>
      </c>
    </row>
    <row r="96">
      <c r="A96" s="10" t="inlineStr">
        <is>
          <t>Product Feedback Loop (internal)</t>
        </is>
      </c>
      <c r="B96" s="3" t="inlineStr">
        <is>
          <t>Newsroom feedback sessions with product teams</t>
        </is>
      </c>
      <c r="C96" s="12" t="n">
        <v>46204</v>
      </c>
      <c r="D96" s="10" t="n">
        <v>2</v>
      </c>
      <c r="E96" s="10" t="inlineStr">
        <is>
          <t>measured</t>
        </is>
      </c>
      <c r="F96" s="3" t="n"/>
      <c r="G96" s="10" t="inlineStr">
        <is>
          <t>Tom Reeves</t>
        </is>
      </c>
    </row>
    <row r="97">
      <c r="A97" s="10" t="inlineStr">
        <is>
          <t>Product Feedback Loop (internal)</t>
        </is>
      </c>
      <c r="B97" s="3" t="inlineStr">
        <is>
          <t>Newsroom feedback sessions with product teams</t>
        </is>
      </c>
      <c r="C97" s="12" t="n">
        <v>46235</v>
      </c>
      <c r="D97" s="10" t="n">
        <v>2</v>
      </c>
      <c r="E97" s="10" t="inlineStr">
        <is>
          <t>measured</t>
        </is>
      </c>
      <c r="F97" s="3" t="n"/>
      <c r="G97" s="10" t="inlineStr">
        <is>
          <t>Tom Reeves</t>
        </is>
      </c>
    </row>
    <row r="98">
      <c r="A98" s="10" t="inlineStr">
        <is>
          <t>Product Feedback Loop (internal)</t>
        </is>
      </c>
      <c r="B98" s="3" t="inlineStr">
        <is>
          <t>Newsroom feedback sessions with product teams</t>
        </is>
      </c>
      <c r="C98" s="12" t="n">
        <v>46266</v>
      </c>
      <c r="D98" s="10" t="n">
        <v>2</v>
      </c>
      <c r="E98" s="10" t="inlineStr">
        <is>
          <t>measured</t>
        </is>
      </c>
      <c r="F98" s="3" t="n"/>
      <c r="G98" s="10" t="inlineStr">
        <is>
          <t>Tom Reeves</t>
        </is>
      </c>
    </row>
    <row r="99">
      <c r="A99" s="10" t="inlineStr">
        <is>
          <t>Product Feedback Loop (internal)</t>
        </is>
      </c>
      <c r="B99" s="3" t="inlineStr">
        <is>
          <t>Product teams using newsroom insights</t>
        </is>
      </c>
      <c r="C99" s="12" t="n">
        <v>46113</v>
      </c>
      <c r="D99" s="10" t="n">
        <v>1</v>
      </c>
      <c r="E99" s="10" t="inlineStr">
        <is>
          <t>measured</t>
        </is>
      </c>
      <c r="F99" s="3" t="n"/>
      <c r="G99" s="10" t="inlineStr">
        <is>
          <t>Tom Reeves</t>
        </is>
      </c>
    </row>
    <row r="100">
      <c r="A100" s="10" t="inlineStr">
        <is>
          <t>Product Feedback Loop (internal)</t>
        </is>
      </c>
      <c r="B100" s="3" t="inlineStr">
        <is>
          <t>Product teams using newsroom insights</t>
        </is>
      </c>
      <c r="C100" s="12" t="n">
        <v>46143</v>
      </c>
      <c r="D100" s="10" t="n">
        <v>2</v>
      </c>
      <c r="E100" s="10" t="inlineStr">
        <is>
          <t>measured</t>
        </is>
      </c>
      <c r="F100" s="3" t="n"/>
      <c r="G100" s="10" t="inlineStr">
        <is>
          <t>Tom Reeves</t>
        </is>
      </c>
    </row>
    <row r="101">
      <c r="A101" s="10" t="inlineStr">
        <is>
          <t>Product Feedback Loop (internal)</t>
        </is>
      </c>
      <c r="B101" s="3" t="inlineStr">
        <is>
          <t>Product teams using newsroom insights</t>
        </is>
      </c>
      <c r="C101" s="12" t="n">
        <v>46174</v>
      </c>
      <c r="D101" s="10" t="n">
        <v>3</v>
      </c>
      <c r="E101" s="10" t="inlineStr">
        <is>
          <t>measured</t>
        </is>
      </c>
      <c r="F101" s="3" t="n"/>
      <c r="G101" s="10" t="inlineStr">
        <is>
          <t>Tom Reeves</t>
        </is>
      </c>
    </row>
    <row r="102">
      <c r="A102" s="10" t="inlineStr">
        <is>
          <t>Product Feedback Loop (internal)</t>
        </is>
      </c>
      <c r="B102" s="3" t="inlineStr">
        <is>
          <t>Product teams using newsroom insights</t>
        </is>
      </c>
      <c r="C102" s="12" t="n">
        <v>46204</v>
      </c>
      <c r="D102" s="10" t="n">
        <v>4</v>
      </c>
      <c r="E102" s="10" t="inlineStr">
        <is>
          <t>measured</t>
        </is>
      </c>
      <c r="F102" s="3" t="n"/>
      <c r="G102" s="10" t="inlineStr">
        <is>
          <t>Tom Reeves</t>
        </is>
      </c>
    </row>
    <row r="103">
      <c r="A103" s="10" t="inlineStr">
        <is>
          <t>Product Feedback Loop (internal)</t>
        </is>
      </c>
      <c r="B103" s="3" t="inlineStr">
        <is>
          <t>Product teams using newsroom insights</t>
        </is>
      </c>
      <c r="C103" s="12" t="n">
        <v>46235</v>
      </c>
      <c r="D103" s="10" t="n">
        <v>5</v>
      </c>
      <c r="E103" s="10" t="inlineStr">
        <is>
          <t>measured</t>
        </is>
      </c>
      <c r="F103" s="3" t="n"/>
      <c r="G103" s="10" t="inlineStr">
        <is>
          <t>Tom Reeves</t>
        </is>
      </c>
    </row>
    <row r="104">
      <c r="A104" s="10" t="inlineStr">
        <is>
          <t>Product Feedback Loop (internal)</t>
        </is>
      </c>
      <c r="B104" s="3" t="inlineStr">
        <is>
          <t>Product teams using newsroom insights</t>
        </is>
      </c>
      <c r="C104" s="12" t="n">
        <v>46266</v>
      </c>
      <c r="D104" s="10" t="n">
        <v>5</v>
      </c>
      <c r="E104" s="10" t="inlineStr">
        <is>
          <t>measured</t>
        </is>
      </c>
      <c r="F104" s="3" t="n"/>
      <c r="G104" s="10" t="inlineStr">
        <is>
          <t>Tom Reeves</t>
        </is>
      </c>
    </row>
    <row r="105">
      <c r="A105" s="10" t="inlineStr">
        <is>
          <t>Product Feedback Loop (internal)</t>
        </is>
      </c>
      <c r="B105" s="3" t="inlineStr">
        <is>
          <t>Newsroom-requested features shipped</t>
        </is>
      </c>
      <c r="C105" s="12" t="n">
        <v>46113</v>
      </c>
      <c r="D105" s="10" t="n">
        <v>0</v>
      </c>
      <c r="E105" s="10" t="inlineStr">
        <is>
          <t>measured</t>
        </is>
      </c>
      <c r="F105" s="3" t="n"/>
      <c r="G105" s="10" t="inlineStr">
        <is>
          <t>Tom Reeves</t>
        </is>
      </c>
    </row>
    <row r="106">
      <c r="A106" s="10" t="inlineStr">
        <is>
          <t>Product Feedback Loop (internal)</t>
        </is>
      </c>
      <c r="B106" s="3" t="inlineStr">
        <is>
          <t>Newsroom-requested features shipped</t>
        </is>
      </c>
      <c r="C106" s="12" t="n">
        <v>46143</v>
      </c>
      <c r="D106" s="10" t="n">
        <v>1</v>
      </c>
      <c r="E106" s="10" t="inlineStr">
        <is>
          <t>measured</t>
        </is>
      </c>
      <c r="F106" s="3" t="n"/>
      <c r="G106" s="10" t="inlineStr">
        <is>
          <t>Tom Reeves</t>
        </is>
      </c>
    </row>
    <row r="107">
      <c r="A107" s="10" t="inlineStr">
        <is>
          <t>Product Feedback Loop (internal)</t>
        </is>
      </c>
      <c r="B107" s="3" t="inlineStr">
        <is>
          <t>Newsroom-requested features shipped</t>
        </is>
      </c>
      <c r="C107" s="12" t="n">
        <v>46174</v>
      </c>
      <c r="D107" s="10" t="n">
        <v>0</v>
      </c>
      <c r="E107" s="10" t="inlineStr">
        <is>
          <t>measured</t>
        </is>
      </c>
      <c r="F107" s="3" t="n"/>
      <c r="G107" s="10" t="inlineStr">
        <is>
          <t>Tom Reeves</t>
        </is>
      </c>
    </row>
    <row r="108">
      <c r="A108" s="10" t="inlineStr">
        <is>
          <t>Product Feedback Loop (internal)</t>
        </is>
      </c>
      <c r="B108" s="3" t="inlineStr">
        <is>
          <t>Newsroom-requested features shipped</t>
        </is>
      </c>
      <c r="C108" s="12" t="n">
        <v>46204</v>
      </c>
      <c r="D108" s="10" t="n">
        <v>1</v>
      </c>
      <c r="E108" s="10" t="inlineStr">
        <is>
          <t>measured</t>
        </is>
      </c>
      <c r="F108" s="3" t="n"/>
      <c r="G108" s="10" t="inlineStr">
        <is>
          <t>Tom Reeves</t>
        </is>
      </c>
    </row>
    <row r="109">
      <c r="A109" s="10" t="inlineStr">
        <is>
          <t>Product Feedback Loop (internal)</t>
        </is>
      </c>
      <c r="B109" s="3" t="inlineStr">
        <is>
          <t>Newsroom-requested features shipped</t>
        </is>
      </c>
      <c r="C109" s="12" t="n">
        <v>46235</v>
      </c>
      <c r="D109" s="10" t="n">
        <v>1</v>
      </c>
      <c r="E109" s="10" t="inlineStr">
        <is>
          <t>measured</t>
        </is>
      </c>
      <c r="F109" s="3" t="n"/>
      <c r="G109" s="10" t="inlineStr">
        <is>
          <t>Tom Reeves</t>
        </is>
      </c>
    </row>
    <row r="110">
      <c r="A110" s="10" t="inlineStr">
        <is>
          <t>Product Feedback Loop (internal)</t>
        </is>
      </c>
      <c r="B110" s="3" t="inlineStr">
        <is>
          <t>Newsroom-requested features shipped</t>
        </is>
      </c>
      <c r="C110" s="12" t="n">
        <v>46266</v>
      </c>
      <c r="D110" s="10" t="n">
        <v>1</v>
      </c>
      <c r="E110" s="10" t="inlineStr">
        <is>
          <t>measured</t>
        </is>
      </c>
      <c r="F110" s="3" t="n"/>
      <c r="G110" s="10" t="inlineStr">
        <is>
          <t>Tom Reeves</t>
        </is>
      </c>
    </row>
    <row r="111">
      <c r="A111" s="10" t="inlineStr">
        <is>
          <t>Local News Audience Study</t>
        </is>
      </c>
      <c r="B111" s="3" t="inlineStr">
        <is>
          <t>Survey responses collected</t>
        </is>
      </c>
      <c r="C111" s="12" t="n">
        <v>46113</v>
      </c>
      <c r="D111" s="10" t="n">
        <v>400</v>
      </c>
      <c r="E111" s="10" t="inlineStr">
        <is>
          <t>measured</t>
        </is>
      </c>
      <c r="F111" s="3" t="n"/>
      <c r="G111" s="10" t="inlineStr">
        <is>
          <t>Tom Reeves</t>
        </is>
      </c>
    </row>
    <row r="112">
      <c r="A112" s="10" t="inlineStr">
        <is>
          <t>Local News Audience Study</t>
        </is>
      </c>
      <c r="B112" s="3" t="inlineStr">
        <is>
          <t>Survey responses collected</t>
        </is>
      </c>
      <c r="C112" s="12" t="n">
        <v>46143</v>
      </c>
      <c r="D112" s="10" t="n">
        <v>700</v>
      </c>
      <c r="E112" s="10" t="inlineStr">
        <is>
          <t>measured</t>
        </is>
      </c>
      <c r="F112" s="3" t="n"/>
      <c r="G112" s="10" t="inlineStr">
        <is>
          <t>Tom Reeves</t>
        </is>
      </c>
    </row>
    <row r="113">
      <c r="A113" s="10" t="inlineStr">
        <is>
          <t>Local News Audience Study</t>
        </is>
      </c>
      <c r="B113" s="3" t="inlineStr">
        <is>
          <t>Survey responses collected</t>
        </is>
      </c>
      <c r="C113" s="12" t="n">
        <v>46174</v>
      </c>
      <c r="D113" s="10" t="n">
        <v>900</v>
      </c>
      <c r="E113" s="10" t="inlineStr">
        <is>
          <t>measured</t>
        </is>
      </c>
      <c r="F113" s="3" t="n"/>
      <c r="G113" s="10" t="inlineStr">
        <is>
          <t>Tom Reeves</t>
        </is>
      </c>
    </row>
    <row r="114">
      <c r="A114" s="10" t="inlineStr">
        <is>
          <t>Local News Audience Study</t>
        </is>
      </c>
      <c r="B114" s="3" t="inlineStr">
        <is>
          <t>Survey responses collected</t>
        </is>
      </c>
      <c r="C114" s="12" t="n">
        <v>46204</v>
      </c>
      <c r="D114" s="10" t="n">
        <v>800</v>
      </c>
      <c r="E114" s="10" t="inlineStr">
        <is>
          <t>measured</t>
        </is>
      </c>
      <c r="F114" s="3" t="n"/>
      <c r="G114" s="10" t="inlineStr">
        <is>
          <t>Tom Reeves</t>
        </is>
      </c>
    </row>
    <row r="115">
      <c r="A115" s="10" t="inlineStr">
        <is>
          <t>Local News Audience Study</t>
        </is>
      </c>
      <c r="B115" s="3" t="inlineStr">
        <is>
          <t>Survey responses collected</t>
        </is>
      </c>
      <c r="C115" s="12" t="n">
        <v>46235</v>
      </c>
      <c r="D115" s="10" t="n">
        <v>600</v>
      </c>
      <c r="E115" s="10" t="inlineStr">
        <is>
          <t>measured</t>
        </is>
      </c>
      <c r="F115" s="3" t="n"/>
      <c r="G115" s="10" t="inlineStr">
        <is>
          <t>Tom Reeves</t>
        </is>
      </c>
    </row>
    <row r="116">
      <c r="A116" s="10" t="inlineStr">
        <is>
          <t>Local News Audience Study</t>
        </is>
      </c>
      <c r="B116" s="3" t="inlineStr">
        <is>
          <t>Survey responses collected</t>
        </is>
      </c>
      <c r="C116" s="12" t="n">
        <v>46266</v>
      </c>
      <c r="D116" s="10" t="n">
        <v>500</v>
      </c>
      <c r="E116" s="10" t="inlineStr">
        <is>
          <t>measured</t>
        </is>
      </c>
      <c r="F116" s="3" t="n"/>
      <c r="G116" s="10" t="inlineStr">
        <is>
          <t>Tom Reeves</t>
        </is>
      </c>
    </row>
    <row r="117">
      <c r="A117" s="10" t="inlineStr">
        <is>
          <t>Local News Audience Study</t>
        </is>
      </c>
      <c r="B117" s="3" t="inlineStr">
        <is>
          <t>Research briefs published</t>
        </is>
      </c>
      <c r="C117" s="12" t="n">
        <v>46113</v>
      </c>
      <c r="D117" s="10" t="n">
        <v>0</v>
      </c>
      <c r="E117" s="10" t="inlineStr">
        <is>
          <t>measured</t>
        </is>
      </c>
      <c r="F117" s="3" t="n"/>
      <c r="G117" s="10" t="inlineStr">
        <is>
          <t>Tom Reeves</t>
        </is>
      </c>
    </row>
    <row r="118">
      <c r="A118" s="10" t="inlineStr">
        <is>
          <t>Local News Audience Study</t>
        </is>
      </c>
      <c r="B118" s="3" t="inlineStr">
        <is>
          <t>Research briefs published</t>
        </is>
      </c>
      <c r="C118" s="12" t="n">
        <v>46143</v>
      </c>
      <c r="D118" s="10" t="n">
        <v>0</v>
      </c>
      <c r="E118" s="10" t="inlineStr">
        <is>
          <t>measured</t>
        </is>
      </c>
      <c r="F118" s="3" t="n"/>
      <c r="G118" s="10" t="inlineStr">
        <is>
          <t>Tom Reeves</t>
        </is>
      </c>
    </row>
    <row r="119">
      <c r="A119" s="10" t="inlineStr">
        <is>
          <t>Local News Audience Study</t>
        </is>
      </c>
      <c r="B119" s="3" t="inlineStr">
        <is>
          <t>Research briefs published</t>
        </is>
      </c>
      <c r="C119" s="12" t="n">
        <v>46174</v>
      </c>
      <c r="D119" s="10" t="n">
        <v>1</v>
      </c>
      <c r="E119" s="10" t="inlineStr">
        <is>
          <t>measured</t>
        </is>
      </c>
      <c r="F119" s="3" t="n"/>
      <c r="G119" s="10" t="inlineStr">
        <is>
          <t>Tom Reeves</t>
        </is>
      </c>
    </row>
    <row r="120">
      <c r="A120" s="10" t="inlineStr">
        <is>
          <t>Local News Audience Study</t>
        </is>
      </c>
      <c r="B120" s="3" t="inlineStr">
        <is>
          <t>Research briefs published</t>
        </is>
      </c>
      <c r="C120" s="12" t="n">
        <v>46204</v>
      </c>
      <c r="D120" s="10" t="n">
        <v>0</v>
      </c>
      <c r="E120" s="10" t="inlineStr">
        <is>
          <t>measured</t>
        </is>
      </c>
      <c r="F120" s="3" t="n"/>
      <c r="G120" s="10" t="inlineStr">
        <is>
          <t>Tom Reeves</t>
        </is>
      </c>
    </row>
    <row r="121">
      <c r="A121" s="10" t="inlineStr">
        <is>
          <t>Local News Audience Study</t>
        </is>
      </c>
      <c r="B121" s="3" t="inlineStr">
        <is>
          <t>Research briefs published</t>
        </is>
      </c>
      <c r="C121" s="12" t="n">
        <v>46235</v>
      </c>
      <c r="D121" s="10" t="n">
        <v>1</v>
      </c>
      <c r="E121" s="10" t="inlineStr">
        <is>
          <t>measured</t>
        </is>
      </c>
      <c r="F121" s="3" t="n"/>
      <c r="G121" s="10" t="inlineStr">
        <is>
          <t>Tom Reeves</t>
        </is>
      </c>
    </row>
    <row r="122">
      <c r="A122" s="10" t="inlineStr">
        <is>
          <t>Local News Audience Study</t>
        </is>
      </c>
      <c r="B122" s="3" t="inlineStr">
        <is>
          <t>Research briefs published</t>
        </is>
      </c>
      <c r="C122" s="12" t="n">
        <v>46266</v>
      </c>
      <c r="D122" s="10" t="n">
        <v>1</v>
      </c>
      <c r="E122" s="10" t="inlineStr">
        <is>
          <t>measured</t>
        </is>
      </c>
      <c r="F122" s="3" t="n"/>
      <c r="G122" s="10" t="inlineStr">
        <is>
          <t>Tom Reeves</t>
        </is>
      </c>
    </row>
    <row r="123">
      <c r="A123" s="10" t="inlineStr">
        <is>
          <t>Local News Audience Study</t>
        </is>
      </c>
      <c r="B123" s="3" t="inlineStr">
        <is>
          <t>Report downloads</t>
        </is>
      </c>
      <c r="C123" s="12" t="n">
        <v>46113</v>
      </c>
      <c r="D123" s="10" t="n">
        <v>0</v>
      </c>
      <c r="E123" s="10" t="inlineStr">
        <is>
          <t>measured</t>
        </is>
      </c>
      <c r="F123" s="3" t="n"/>
      <c r="G123" s="10" t="inlineStr">
        <is>
          <t>Tom Reeves</t>
        </is>
      </c>
    </row>
    <row r="124">
      <c r="A124" s="10" t="inlineStr">
        <is>
          <t>Local News Audience Study</t>
        </is>
      </c>
      <c r="B124" s="3" t="inlineStr">
        <is>
          <t>Report downloads</t>
        </is>
      </c>
      <c r="C124" s="12" t="n">
        <v>46143</v>
      </c>
      <c r="D124" s="10" t="n">
        <v>0</v>
      </c>
      <c r="E124" s="10" t="inlineStr">
        <is>
          <t>measured</t>
        </is>
      </c>
      <c r="F124" s="3" t="n"/>
      <c r="G124" s="10" t="inlineStr">
        <is>
          <t>Tom Reeves</t>
        </is>
      </c>
    </row>
    <row r="125">
      <c r="A125" s="10" t="inlineStr">
        <is>
          <t>Local News Audience Study</t>
        </is>
      </c>
      <c r="B125" s="3" t="inlineStr">
        <is>
          <t>Report downloads</t>
        </is>
      </c>
      <c r="C125" s="12" t="n">
        <v>46174</v>
      </c>
      <c r="D125" s="10" t="n">
        <v>300</v>
      </c>
      <c r="E125" s="10" t="inlineStr">
        <is>
          <t>measured</t>
        </is>
      </c>
      <c r="F125" s="3" t="n"/>
      <c r="G125" s="10" t="inlineStr">
        <is>
          <t>Tom Reeves</t>
        </is>
      </c>
    </row>
    <row r="126">
      <c r="A126" s="10" t="inlineStr">
        <is>
          <t>Local News Audience Study</t>
        </is>
      </c>
      <c r="B126" s="3" t="inlineStr">
        <is>
          <t>Report downloads</t>
        </is>
      </c>
      <c r="C126" s="12" t="n">
        <v>46204</v>
      </c>
      <c r="D126" s="10" t="n">
        <v>250</v>
      </c>
      <c r="E126" s="10" t="inlineStr">
        <is>
          <t>measured</t>
        </is>
      </c>
      <c r="F126" s="3" t="n"/>
      <c r="G126" s="10" t="inlineStr">
        <is>
          <t>Tom Reeves</t>
        </is>
      </c>
    </row>
    <row r="127">
      <c r="A127" s="10" t="inlineStr">
        <is>
          <t>Local News Audience Study</t>
        </is>
      </c>
      <c r="B127" s="3" t="inlineStr">
        <is>
          <t>Report downloads</t>
        </is>
      </c>
      <c r="C127" s="12" t="n">
        <v>46235</v>
      </c>
      <c r="D127" s="10" t="n">
        <v>200</v>
      </c>
      <c r="E127" s="10" t="inlineStr">
        <is>
          <t>measured</t>
        </is>
      </c>
      <c r="F127" s="3" t="n"/>
      <c r="G127" s="10" t="inlineStr">
        <is>
          <t>Tom Reeves</t>
        </is>
      </c>
    </row>
    <row r="128">
      <c r="A128" s="10" t="inlineStr">
        <is>
          <t>Local News Audience Study</t>
        </is>
      </c>
      <c r="B128" s="3" t="inlineStr">
        <is>
          <t>Report downloads</t>
        </is>
      </c>
      <c r="C128" s="12" t="n">
        <v>46266</v>
      </c>
      <c r="D128" s="10" t="n">
        <v>150</v>
      </c>
      <c r="E128" s="10" t="inlineStr">
        <is>
          <t>measured</t>
        </is>
      </c>
      <c r="F128" s="3" t="n"/>
      <c r="G128" s="10" t="inlineStr">
        <is>
          <t>Tom Reeves</t>
        </is>
      </c>
    </row>
    <row r="129">
      <c r="A129" s="10" t="inlineStr">
        <is>
          <t>Local News Audience Study</t>
        </is>
      </c>
      <c r="B129" s="3" t="inlineStr">
        <is>
          <t>Citations in policy papers and press</t>
        </is>
      </c>
      <c r="C129" s="12" t="n">
        <v>46113</v>
      </c>
      <c r="D129" s="10" t="n">
        <v>0</v>
      </c>
      <c r="E129" s="10" t="inlineStr">
        <is>
          <t>measured</t>
        </is>
      </c>
      <c r="F129" s="3" t="n"/>
      <c r="G129" s="10" t="inlineStr">
        <is>
          <t>Tom Reeves</t>
        </is>
      </c>
    </row>
    <row r="130">
      <c r="A130" s="10" t="inlineStr">
        <is>
          <t>Local News Audience Study</t>
        </is>
      </c>
      <c r="B130" s="3" t="inlineStr">
        <is>
          <t>Citations in policy papers and press</t>
        </is>
      </c>
      <c r="C130" s="12" t="n">
        <v>46143</v>
      </c>
      <c r="D130" s="10" t="n">
        <v>0</v>
      </c>
      <c r="E130" s="10" t="inlineStr">
        <is>
          <t>measured</t>
        </is>
      </c>
      <c r="F130" s="3" t="n"/>
      <c r="G130" s="10" t="inlineStr">
        <is>
          <t>Tom Reeves</t>
        </is>
      </c>
    </row>
    <row r="131">
      <c r="A131" s="10" t="inlineStr">
        <is>
          <t>Local News Audience Study</t>
        </is>
      </c>
      <c r="B131" s="3" t="inlineStr">
        <is>
          <t>Citations in policy papers and press</t>
        </is>
      </c>
      <c r="C131" s="12" t="n">
        <v>46174</v>
      </c>
      <c r="D131" s="10" t="n">
        <v>1</v>
      </c>
      <c r="E131" s="10" t="inlineStr">
        <is>
          <t>measured</t>
        </is>
      </c>
      <c r="F131" s="3" t="n"/>
      <c r="G131" s="10" t="inlineStr">
        <is>
          <t>Tom Reeves</t>
        </is>
      </c>
    </row>
    <row r="132">
      <c r="A132" s="10" t="inlineStr">
        <is>
          <t>Local News Audience Study</t>
        </is>
      </c>
      <c r="B132" s="3" t="inlineStr">
        <is>
          <t>Citations in policy papers and press</t>
        </is>
      </c>
      <c r="C132" s="12" t="n">
        <v>46204</v>
      </c>
      <c r="D132" s="10" t="n">
        <v>2</v>
      </c>
      <c r="E132" s="10" t="inlineStr">
        <is>
          <t>measured</t>
        </is>
      </c>
      <c r="F132" s="3" t="n"/>
      <c r="G132" s="10" t="inlineStr">
        <is>
          <t>Tom Reeves</t>
        </is>
      </c>
    </row>
    <row r="133">
      <c r="A133" s="10" t="inlineStr">
        <is>
          <t>Local News Audience Study</t>
        </is>
      </c>
      <c r="B133" s="3" t="inlineStr">
        <is>
          <t>Citations in policy papers and press</t>
        </is>
      </c>
      <c r="C133" s="12" t="n">
        <v>46235</v>
      </c>
      <c r="D133" s="10" t="n">
        <v>3</v>
      </c>
      <c r="E133" s="10" t="inlineStr">
        <is>
          <t>measured</t>
        </is>
      </c>
      <c r="F133" s="3" t="n"/>
      <c r="G133" s="10" t="inlineStr">
        <is>
          <t>Tom Reeves</t>
        </is>
      </c>
    </row>
    <row r="134">
      <c r="A134" s="10" t="inlineStr">
        <is>
          <t>Local News Audience Study</t>
        </is>
      </c>
      <c r="B134" s="3" t="inlineStr">
        <is>
          <t>Citations in policy papers and press</t>
        </is>
      </c>
      <c r="C134" s="12" t="n">
        <v>46266</v>
      </c>
      <c r="D134" s="10" t="n">
        <v>3</v>
      </c>
      <c r="E134" s="10" t="inlineStr">
        <is>
          <t>measured</t>
        </is>
      </c>
      <c r="F134" s="3" t="n"/>
      <c r="G134" s="10" t="inlineStr">
        <is>
          <t>Tom Reeves</t>
        </is>
      </c>
    </row>
    <row r="135">
      <c r="A135" s="10" t="inlineStr">
        <is>
          <t>Local News Audience Study</t>
        </is>
      </c>
      <c r="B135" s="3" t="inlineStr">
        <is>
          <t>Internal teams using the findings</t>
        </is>
      </c>
      <c r="C135" s="12" t="n">
        <v>46113</v>
      </c>
      <c r="D135" s="10" t="n">
        <v>0</v>
      </c>
      <c r="E135" s="10" t="inlineStr">
        <is>
          <t>self-reported</t>
        </is>
      </c>
      <c r="F135" s="3" t="n"/>
      <c r="G135" s="10" t="inlineStr">
        <is>
          <t>Tom Reeves</t>
        </is>
      </c>
    </row>
    <row r="136">
      <c r="A136" s="10" t="inlineStr">
        <is>
          <t>Local News Audience Study</t>
        </is>
      </c>
      <c r="B136" s="3" t="inlineStr">
        <is>
          <t>Internal teams using the findings</t>
        </is>
      </c>
      <c r="C136" s="12" t="n">
        <v>46143</v>
      </c>
      <c r="D136" s="10" t="n">
        <v>0</v>
      </c>
      <c r="E136" s="10" t="inlineStr">
        <is>
          <t>self-reported</t>
        </is>
      </c>
      <c r="F136" s="3" t="n"/>
      <c r="G136" s="10" t="inlineStr">
        <is>
          <t>Tom Reeves</t>
        </is>
      </c>
    </row>
    <row r="137">
      <c r="A137" s="10" t="inlineStr">
        <is>
          <t>Local News Audience Study</t>
        </is>
      </c>
      <c r="B137" s="3" t="inlineStr">
        <is>
          <t>Internal teams using the findings</t>
        </is>
      </c>
      <c r="C137" s="12" t="n">
        <v>46174</v>
      </c>
      <c r="D137" s="10" t="n">
        <v>2</v>
      </c>
      <c r="E137" s="10" t="inlineStr">
        <is>
          <t>self-reported</t>
        </is>
      </c>
      <c r="F137" s="3" t="n"/>
      <c r="G137" s="10" t="inlineStr">
        <is>
          <t>Tom Reeves</t>
        </is>
      </c>
    </row>
    <row r="138">
      <c r="A138" s="10" t="inlineStr">
        <is>
          <t>Local News Audience Study</t>
        </is>
      </c>
      <c r="B138" s="3" t="inlineStr">
        <is>
          <t>Internal teams using the findings</t>
        </is>
      </c>
      <c r="C138" s="12" t="n">
        <v>46204</v>
      </c>
      <c r="D138" s="10" t="n">
        <v>3</v>
      </c>
      <c r="E138" s="10" t="inlineStr">
        <is>
          <t>self-reported</t>
        </is>
      </c>
      <c r="F138" s="3" t="n"/>
      <c r="G138" s="10" t="inlineStr">
        <is>
          <t>Tom Reeves</t>
        </is>
      </c>
    </row>
    <row r="139">
      <c r="A139" s="10" t="inlineStr">
        <is>
          <t>Local News Audience Study</t>
        </is>
      </c>
      <c r="B139" s="3" t="inlineStr">
        <is>
          <t>Internal teams using the findings</t>
        </is>
      </c>
      <c r="C139" s="12" t="n">
        <v>46235</v>
      </c>
      <c r="D139" s="10" t="n">
        <v>5</v>
      </c>
      <c r="E139" s="10" t="inlineStr">
        <is>
          <t>self-reported</t>
        </is>
      </c>
      <c r="F139" s="3" t="n"/>
      <c r="G139" s="10" t="inlineStr">
        <is>
          <t>Tom Reeves</t>
        </is>
      </c>
    </row>
    <row r="140">
      <c r="A140" s="10" t="inlineStr">
        <is>
          <t>Local News Audience Study</t>
        </is>
      </c>
      <c r="B140" s="3" t="inlineStr">
        <is>
          <t>Internal teams using the findings</t>
        </is>
      </c>
      <c r="C140" s="12" t="n">
        <v>46266</v>
      </c>
      <c r="D140" s="10" t="n">
        <v>6</v>
      </c>
      <c r="E140" s="10" t="inlineStr">
        <is>
          <t>self-reported</t>
        </is>
      </c>
      <c r="F140" s="3" t="n"/>
      <c r="G140" s="10" t="inlineStr">
        <is>
          <t>Tom Reeves</t>
        </is>
      </c>
    </row>
    <row r="141">
      <c r="A141" s="10" t="inlineStr">
        <is>
          <t>Global News Summit 2026</t>
        </is>
      </c>
      <c r="B141" s="3" t="inlineStr">
        <is>
          <t>Summit registrations</t>
        </is>
      </c>
      <c r="C141" s="12" t="n">
        <v>46113</v>
      </c>
      <c r="D141" s="10" t="n">
        <v>0</v>
      </c>
      <c r="E141" s="10" t="inlineStr">
        <is>
          <t>measured</t>
        </is>
      </c>
      <c r="F141" s="3" t="n"/>
      <c r="G141" s="10" t="inlineStr">
        <is>
          <t>Sofia Lindqvist</t>
        </is>
      </c>
    </row>
    <row r="142">
      <c r="A142" s="10" t="inlineStr">
        <is>
          <t>Global News Summit 2026</t>
        </is>
      </c>
      <c r="B142" s="3" t="inlineStr">
        <is>
          <t>Summit registrations</t>
        </is>
      </c>
      <c r="C142" s="12" t="n">
        <v>46143</v>
      </c>
      <c r="D142" s="10" t="n">
        <v>0</v>
      </c>
      <c r="E142" s="10" t="inlineStr">
        <is>
          <t>measured</t>
        </is>
      </c>
      <c r="F142" s="3" t="n"/>
      <c r="G142" s="10" t="inlineStr">
        <is>
          <t>Sofia Lindqvist</t>
        </is>
      </c>
    </row>
    <row r="143">
      <c r="A143" s="10" t="inlineStr">
        <is>
          <t>Global News Summit 2026</t>
        </is>
      </c>
      <c r="B143" s="3" t="inlineStr">
        <is>
          <t>Summit registrations</t>
        </is>
      </c>
      <c r="C143" s="12" t="n">
        <v>46174</v>
      </c>
      <c r="D143" s="10" t="n">
        <v>40</v>
      </c>
      <c r="E143" s="10" t="inlineStr">
        <is>
          <t>measured</t>
        </is>
      </c>
      <c r="F143" s="3" t="n"/>
      <c r="G143" s="10" t="inlineStr">
        <is>
          <t>Sofia Lindqvist</t>
        </is>
      </c>
    </row>
    <row r="144">
      <c r="A144" s="10" t="inlineStr">
        <is>
          <t>Global News Summit 2026</t>
        </is>
      </c>
      <c r="B144" s="3" t="inlineStr">
        <is>
          <t>Summit registrations</t>
        </is>
      </c>
      <c r="C144" s="12" t="n">
        <v>46204</v>
      </c>
      <c r="D144" s="10" t="n">
        <v>90</v>
      </c>
      <c r="E144" s="10" t="inlineStr">
        <is>
          <t>measured</t>
        </is>
      </c>
      <c r="F144" s="3" t="n"/>
      <c r="G144" s="10" t="inlineStr">
        <is>
          <t>Sofia Lindqvist</t>
        </is>
      </c>
    </row>
    <row r="145">
      <c r="A145" s="10" t="inlineStr">
        <is>
          <t>Global News Summit 2026</t>
        </is>
      </c>
      <c r="B145" s="3" t="inlineStr">
        <is>
          <t>Summit registrations</t>
        </is>
      </c>
      <c r="C145" s="12" t="n">
        <v>46235</v>
      </c>
      <c r="D145" s="10" t="n">
        <v>150</v>
      </c>
      <c r="E145" s="10" t="inlineStr">
        <is>
          <t>measured</t>
        </is>
      </c>
      <c r="F145" s="3" t="n"/>
      <c r="G145" s="10" t="inlineStr">
        <is>
          <t>Sofia Lindqvist</t>
        </is>
      </c>
    </row>
    <row r="146">
      <c r="A146" s="10" t="inlineStr">
        <is>
          <t>Global News Summit 2026</t>
        </is>
      </c>
      <c r="B146" s="3" t="inlineStr">
        <is>
          <t>Summit registrations</t>
        </is>
      </c>
      <c r="C146" s="12" t="n">
        <v>46266</v>
      </c>
      <c r="D146" s="10" t="n">
        <v>160</v>
      </c>
      <c r="E146" s="10" t="inlineStr">
        <is>
          <t>measured</t>
        </is>
      </c>
      <c r="F146" s="3" t="n"/>
      <c r="G146" s="10" t="inlineStr">
        <is>
          <t>Sofia Lindqvist</t>
        </is>
      </c>
    </row>
    <row r="147">
      <c r="A147" s="10" t="inlineStr">
        <is>
          <t>Global News Summit 2026</t>
        </is>
      </c>
      <c r="B147" s="3" t="inlineStr">
        <is>
          <t>Speakers confirmed</t>
        </is>
      </c>
      <c r="C147" s="12" t="n">
        <v>46113</v>
      </c>
      <c r="D147" s="10" t="n">
        <v>0</v>
      </c>
      <c r="E147" s="10" t="inlineStr">
        <is>
          <t>measured</t>
        </is>
      </c>
      <c r="F147" s="3" t="n"/>
      <c r="G147" s="10" t="inlineStr">
        <is>
          <t>Tom Reeves</t>
        </is>
      </c>
    </row>
    <row r="148">
      <c r="A148" s="10" t="inlineStr">
        <is>
          <t>Global News Summit 2026</t>
        </is>
      </c>
      <c r="B148" s="3" t="inlineStr">
        <is>
          <t>Speakers confirmed</t>
        </is>
      </c>
      <c r="C148" s="12" t="n">
        <v>46143</v>
      </c>
      <c r="D148" s="10" t="n">
        <v>5</v>
      </c>
      <c r="E148" s="10" t="inlineStr">
        <is>
          <t>measured</t>
        </is>
      </c>
      <c r="F148" s="3" t="n"/>
      <c r="G148" s="10" t="inlineStr">
        <is>
          <t>Tom Reeves</t>
        </is>
      </c>
    </row>
    <row r="149">
      <c r="A149" s="10" t="inlineStr">
        <is>
          <t>Global News Summit 2026</t>
        </is>
      </c>
      <c r="B149" s="3" t="inlineStr">
        <is>
          <t>Speakers confirmed</t>
        </is>
      </c>
      <c r="C149" s="12" t="n">
        <v>46174</v>
      </c>
      <c r="D149" s="10" t="n">
        <v>8</v>
      </c>
      <c r="E149" s="10" t="inlineStr">
        <is>
          <t>measured</t>
        </is>
      </c>
      <c r="F149" s="3" t="n"/>
      <c r="G149" s="10" t="inlineStr">
        <is>
          <t>Tom Reeves</t>
        </is>
      </c>
    </row>
    <row r="150">
      <c r="A150" s="10" t="inlineStr">
        <is>
          <t>Global News Summit 2026</t>
        </is>
      </c>
      <c r="B150" s="3" t="inlineStr">
        <is>
          <t>Speakers confirmed</t>
        </is>
      </c>
      <c r="C150" s="12" t="n">
        <v>46204</v>
      </c>
      <c r="D150" s="10" t="n">
        <v>6</v>
      </c>
      <c r="E150" s="10" t="inlineStr">
        <is>
          <t>measured</t>
        </is>
      </c>
      <c r="F150" s="3" t="n"/>
      <c r="G150" s="10" t="inlineStr">
        <is>
          <t>Tom Reeves</t>
        </is>
      </c>
    </row>
    <row r="151">
      <c r="A151" s="10" t="inlineStr">
        <is>
          <t>Global News Summit 2026</t>
        </is>
      </c>
      <c r="B151" s="3" t="inlineStr">
        <is>
          <t>Speakers confirmed</t>
        </is>
      </c>
      <c r="C151" s="12" t="n">
        <v>46235</v>
      </c>
      <c r="D151" s="10" t="n">
        <v>4</v>
      </c>
      <c r="E151" s="10" t="inlineStr">
        <is>
          <t>measured</t>
        </is>
      </c>
      <c r="F151" s="3" t="n"/>
      <c r="G151" s="10" t="inlineStr">
        <is>
          <t>Tom Reeves</t>
        </is>
      </c>
    </row>
    <row r="152">
      <c r="A152" s="10" t="inlineStr">
        <is>
          <t>Global News Summit 2026</t>
        </is>
      </c>
      <c r="B152" s="3" t="inlineStr">
        <is>
          <t>Speakers confirmed</t>
        </is>
      </c>
      <c r="C152" s="12" t="n">
        <v>46266</v>
      </c>
      <c r="D152" s="10" t="n">
        <v>3</v>
      </c>
      <c r="E152" s="10" t="inlineStr">
        <is>
          <t>measured</t>
        </is>
      </c>
      <c r="F152" s="3" t="n"/>
      <c r="G152" s="10" t="inlineStr">
        <is>
          <t>Tom Reeves</t>
        </is>
      </c>
    </row>
    <row r="153">
      <c r="A153" s="10" t="inlineStr">
        <is>
          <t>Global News Summit 2026</t>
        </is>
      </c>
      <c r="B153" s="3" t="inlineStr">
        <is>
          <t>Sponsor and partner commitments</t>
        </is>
      </c>
      <c r="C153" s="12" t="n">
        <v>46113</v>
      </c>
      <c r="D153" s="10" t="n">
        <v>0</v>
      </c>
      <c r="E153" s="10" t="inlineStr">
        <is>
          <t>measured</t>
        </is>
      </c>
      <c r="F153" s="3" t="n"/>
      <c r="G153" s="10" t="inlineStr">
        <is>
          <t>Tom Reeves</t>
        </is>
      </c>
    </row>
    <row r="154">
      <c r="A154" s="10" t="inlineStr">
        <is>
          <t>Global News Summit 2026</t>
        </is>
      </c>
      <c r="B154" s="3" t="inlineStr">
        <is>
          <t>Sponsor and partner commitments</t>
        </is>
      </c>
      <c r="C154" s="12" t="n">
        <v>46143</v>
      </c>
      <c r="D154" s="10" t="n">
        <v>1</v>
      </c>
      <c r="E154" s="10" t="inlineStr">
        <is>
          <t>measured</t>
        </is>
      </c>
      <c r="F154" s="3" t="n"/>
      <c r="G154" s="10" t="inlineStr">
        <is>
          <t>Tom Reeves</t>
        </is>
      </c>
    </row>
    <row r="155">
      <c r="A155" s="10" t="inlineStr">
        <is>
          <t>Global News Summit 2026</t>
        </is>
      </c>
      <c r="B155" s="3" t="inlineStr">
        <is>
          <t>Sponsor and partner commitments</t>
        </is>
      </c>
      <c r="C155" s="12" t="n">
        <v>46174</v>
      </c>
      <c r="D155" s="10" t="n">
        <v>1</v>
      </c>
      <c r="E155" s="10" t="inlineStr">
        <is>
          <t>measured</t>
        </is>
      </c>
      <c r="F155" s="3" t="n"/>
      <c r="G155" s="10" t="inlineStr">
        <is>
          <t>Tom Reeves</t>
        </is>
      </c>
    </row>
    <row r="156">
      <c r="A156" s="10" t="inlineStr">
        <is>
          <t>Global News Summit 2026</t>
        </is>
      </c>
      <c r="B156" s="3" t="inlineStr">
        <is>
          <t>Sponsor and partner commitments</t>
        </is>
      </c>
      <c r="C156" s="12" t="n">
        <v>46204</v>
      </c>
      <c r="D156" s="10" t="n">
        <v>1</v>
      </c>
      <c r="E156" s="10" t="inlineStr">
        <is>
          <t>measured</t>
        </is>
      </c>
      <c r="F156" s="3" t="n"/>
      <c r="G156" s="10" t="inlineStr">
        <is>
          <t>Tom Reeves</t>
        </is>
      </c>
    </row>
    <row r="157">
      <c r="A157" s="10" t="inlineStr">
        <is>
          <t>Global News Summit 2026</t>
        </is>
      </c>
      <c r="B157" s="3" t="inlineStr">
        <is>
          <t>Sponsor and partner commitments</t>
        </is>
      </c>
      <c r="C157" s="12" t="n">
        <v>46235</v>
      </c>
      <c r="D157" s="10" t="n">
        <v>1</v>
      </c>
      <c r="E157" s="10" t="inlineStr">
        <is>
          <t>measured</t>
        </is>
      </c>
      <c r="F157" s="3" t="n"/>
      <c r="G157" s="10" t="inlineStr">
        <is>
          <t>Tom Reeves</t>
        </is>
      </c>
    </row>
    <row r="158">
      <c r="A158" s="10" t="inlineStr">
        <is>
          <t>Global News Summit 2026</t>
        </is>
      </c>
      <c r="B158" s="3" t="inlineStr">
        <is>
          <t>Sponsor and partner commitments</t>
        </is>
      </c>
      <c r="C158" s="12" t="n">
        <v>46266</v>
      </c>
      <c r="D158" s="10" t="n">
        <v>1</v>
      </c>
      <c r="E158" s="10" t="inlineStr">
        <is>
          <t>measured</t>
        </is>
      </c>
      <c r="F158" s="3" t="n"/>
      <c r="G158" s="10" t="inlineStr">
        <is>
          <t>Tom Reeves</t>
        </is>
      </c>
    </row>
    <row r="159">
      <c r="A159" s="10" t="inlineStr">
        <is>
          <t>Global News Summit 2026</t>
        </is>
      </c>
      <c r="B159" s="3" t="inlineStr">
        <is>
          <t>Partnerships started after events</t>
        </is>
      </c>
      <c r="C159" s="12" t="n">
        <v>46113</v>
      </c>
      <c r="D159" s="10" t="n">
        <v>0</v>
      </c>
      <c r="E159" s="10" t="inlineStr">
        <is>
          <t>self-reported</t>
        </is>
      </c>
      <c r="F159" s="3" t="n"/>
      <c r="G159" s="10" t="inlineStr">
        <is>
          <t>Tom Reeves</t>
        </is>
      </c>
    </row>
    <row r="160">
      <c r="A160" s="10" t="inlineStr">
        <is>
          <t>Global News Summit 2026</t>
        </is>
      </c>
      <c r="B160" s="3" t="inlineStr">
        <is>
          <t>Partnerships started after events</t>
        </is>
      </c>
      <c r="C160" s="12" t="n">
        <v>46143</v>
      </c>
      <c r="D160" s="10" t="n">
        <v>0</v>
      </c>
      <c r="E160" s="10" t="inlineStr">
        <is>
          <t>self-reported</t>
        </is>
      </c>
      <c r="F160" s="3" t="n"/>
      <c r="G160" s="10" t="inlineStr">
        <is>
          <t>Tom Reeves</t>
        </is>
      </c>
    </row>
    <row r="161">
      <c r="A161" s="10" t="inlineStr">
        <is>
          <t>Global News Summit 2026</t>
        </is>
      </c>
      <c r="B161" s="3" t="inlineStr">
        <is>
          <t>Partnerships started after events</t>
        </is>
      </c>
      <c r="C161" s="12" t="n">
        <v>46174</v>
      </c>
      <c r="D161" s="10" t="n">
        <v>3</v>
      </c>
      <c r="E161" s="10" t="inlineStr">
        <is>
          <t>self-reported</t>
        </is>
      </c>
      <c r="F161" s="3" t="n"/>
      <c r="G161" s="10" t="inlineStr">
        <is>
          <t>Tom Reeves</t>
        </is>
      </c>
    </row>
    <row r="162">
      <c r="A162" s="10" t="inlineStr">
        <is>
          <t>Global News Summit 2026</t>
        </is>
      </c>
      <c r="B162" s="3" t="inlineStr">
        <is>
          <t>Partnerships started after events</t>
        </is>
      </c>
      <c r="C162" s="12" t="n">
        <v>46204</v>
      </c>
      <c r="D162" s="10" t="n">
        <v>3</v>
      </c>
      <c r="E162" s="10" t="inlineStr">
        <is>
          <t>self-reported</t>
        </is>
      </c>
      <c r="F162" s="3" t="n"/>
      <c r="G162" s="10" t="inlineStr">
        <is>
          <t>Tom Reeves</t>
        </is>
      </c>
    </row>
    <row r="163">
      <c r="A163" s="10" t="inlineStr">
        <is>
          <t>Global News Summit 2026</t>
        </is>
      </c>
      <c r="B163" s="3" t="inlineStr">
        <is>
          <t>Partnerships started after events</t>
        </is>
      </c>
      <c r="C163" s="12" t="n">
        <v>46235</v>
      </c>
      <c r="D163" s="10" t="n">
        <v>3</v>
      </c>
      <c r="E163" s="10" t="inlineStr">
        <is>
          <t>self-reported</t>
        </is>
      </c>
      <c r="F163" s="3" t="n"/>
      <c r="G163" s="10" t="inlineStr">
        <is>
          <t>Tom Reeves</t>
        </is>
      </c>
    </row>
    <row r="164">
      <c r="A164" s="10" t="inlineStr">
        <is>
          <t>Global News Summit 2026</t>
        </is>
      </c>
      <c r="B164" s="3" t="inlineStr">
        <is>
          <t>Partnerships started after events</t>
        </is>
      </c>
      <c r="C164" s="12" t="n">
        <v>46266</v>
      </c>
      <c r="D164" s="10" t="n">
        <v>3</v>
      </c>
      <c r="E164" s="10" t="inlineStr">
        <is>
          <t>self-reported</t>
        </is>
      </c>
      <c r="F164" s="3" t="n"/>
      <c r="G164" s="10" t="inlineStr">
        <is>
          <t>Tom Reeves</t>
        </is>
      </c>
    </row>
    <row r="165">
      <c r="A165" s="10" t="inlineStr">
        <is>
          <t>Global News Summit 2026</t>
        </is>
      </c>
      <c r="B165" s="3" t="inlineStr">
        <is>
          <t>Attendee satisfaction</t>
        </is>
      </c>
      <c r="C165" s="12" t="n">
        <v>46174</v>
      </c>
      <c r="D165" s="10" t="n">
        <v>8.1</v>
      </c>
      <c r="E165" s="10" t="inlineStr">
        <is>
          <t>self-reported</t>
        </is>
      </c>
      <c r="F165" s="3" t="n"/>
      <c r="G165" s="10" t="inlineStr">
        <is>
          <t>Tom Reeves</t>
        </is>
      </c>
    </row>
    <row r="166">
      <c r="A166" s="10" t="inlineStr">
        <is>
          <t>Global News Summit 2026</t>
        </is>
      </c>
      <c r="B166" s="3" t="inlineStr">
        <is>
          <t>Attendee satisfaction</t>
        </is>
      </c>
      <c r="C166" s="12" t="n">
        <v>46266</v>
      </c>
      <c r="D166" s="10" t="n">
        <v>8.300000000000001</v>
      </c>
      <c r="E166" s="10" t="inlineStr">
        <is>
          <t>self-reported</t>
        </is>
      </c>
      <c r="F166" s="3" t="n"/>
      <c r="G166" s="10" t="inlineStr">
        <is>
          <t>Tom Reeves</t>
        </is>
      </c>
    </row>
    <row r="167">
      <c r="A167" s="10" t="inlineStr">
        <is>
          <t>Lunch &amp; Learn series (internal)</t>
        </is>
      </c>
      <c r="B167" s="3" t="inlineStr">
        <is>
          <t>Sessions held</t>
        </is>
      </c>
      <c r="C167" s="12" t="n">
        <v>46113</v>
      </c>
      <c r="D167" s="10" t="n">
        <v>1</v>
      </c>
      <c r="E167" s="10" t="inlineStr">
        <is>
          <t>measured</t>
        </is>
      </c>
      <c r="F167" s="3" t="n"/>
      <c r="G167" s="10" t="inlineStr">
        <is>
          <t>Priya Shah</t>
        </is>
      </c>
    </row>
    <row r="168">
      <c r="A168" s="10" t="inlineStr">
        <is>
          <t>Lunch &amp; Learn series (internal)</t>
        </is>
      </c>
      <c r="B168" s="3" t="inlineStr">
        <is>
          <t>Sessions held</t>
        </is>
      </c>
      <c r="C168" s="12" t="n">
        <v>46143</v>
      </c>
      <c r="D168" s="10" t="n">
        <v>2</v>
      </c>
      <c r="E168" s="10" t="inlineStr">
        <is>
          <t>measured</t>
        </is>
      </c>
      <c r="F168" s="3" t="n"/>
      <c r="G168" s="10" t="inlineStr">
        <is>
          <t>Priya Shah</t>
        </is>
      </c>
    </row>
    <row r="169">
      <c r="A169" s="10" t="inlineStr">
        <is>
          <t>Lunch &amp; Learn series (internal)</t>
        </is>
      </c>
      <c r="B169" s="3" t="inlineStr">
        <is>
          <t>Sessions held</t>
        </is>
      </c>
      <c r="C169" s="12" t="n">
        <v>46174</v>
      </c>
      <c r="D169" s="10" t="n">
        <v>2</v>
      </c>
      <c r="E169" s="10" t="inlineStr">
        <is>
          <t>measured</t>
        </is>
      </c>
      <c r="F169" s="3" t="n"/>
      <c r="G169" s="10" t="inlineStr">
        <is>
          <t>Priya Shah</t>
        </is>
      </c>
    </row>
    <row r="170">
      <c r="A170" s="10" t="inlineStr">
        <is>
          <t>Lunch &amp; Learn series (internal)</t>
        </is>
      </c>
      <c r="B170" s="3" t="inlineStr">
        <is>
          <t>Sessions held</t>
        </is>
      </c>
      <c r="C170" s="12" t="n">
        <v>46204</v>
      </c>
      <c r="D170" s="10" t="n">
        <v>1</v>
      </c>
      <c r="E170" s="10" t="inlineStr">
        <is>
          <t>measured</t>
        </is>
      </c>
      <c r="F170" s="3" t="n"/>
      <c r="G170" s="10" t="inlineStr">
        <is>
          <t>Priya Shah</t>
        </is>
      </c>
    </row>
    <row r="171">
      <c r="A171" s="10" t="inlineStr">
        <is>
          <t>Lunch &amp; Learn series (internal)</t>
        </is>
      </c>
      <c r="B171" s="3" t="inlineStr">
        <is>
          <t>Sessions held</t>
        </is>
      </c>
      <c r="C171" s="12" t="n">
        <v>46235</v>
      </c>
      <c r="D171" s="10" t="n">
        <v>1</v>
      </c>
      <c r="E171" s="10" t="inlineStr">
        <is>
          <t>measured</t>
        </is>
      </c>
      <c r="F171" s="3" t="n"/>
      <c r="G171" s="10" t="inlineStr">
        <is>
          <t>Priya Shah</t>
        </is>
      </c>
    </row>
    <row r="172">
      <c r="A172" s="10" t="inlineStr">
        <is>
          <t>Lunch &amp; Learn series (internal)</t>
        </is>
      </c>
      <c r="B172" s="3" t="inlineStr">
        <is>
          <t>Sessions held</t>
        </is>
      </c>
      <c r="C172" s="12" t="n">
        <v>46266</v>
      </c>
      <c r="D172" s="10" t="n">
        <v>2</v>
      </c>
      <c r="E172" s="10" t="inlineStr">
        <is>
          <t>measured</t>
        </is>
      </c>
      <c r="F172" s="3" t="n"/>
      <c r="G172" s="10" t="inlineStr">
        <is>
          <t>Priya Shah</t>
        </is>
      </c>
    </row>
    <row r="173">
      <c r="A173" s="10" t="inlineStr">
        <is>
          <t>Lunch &amp; Learn series (internal)</t>
        </is>
      </c>
      <c r="B173" s="3" t="inlineStr">
        <is>
          <t>Colleague attendances</t>
        </is>
      </c>
      <c r="C173" s="12" t="n">
        <v>46113</v>
      </c>
      <c r="D173" s="10" t="n">
        <v>80</v>
      </c>
      <c r="E173" s="10" t="inlineStr">
        <is>
          <t>measured</t>
        </is>
      </c>
      <c r="F173" s="3" t="n"/>
      <c r="G173" s="10" t="inlineStr">
        <is>
          <t>Priya Shah</t>
        </is>
      </c>
    </row>
    <row r="174">
      <c r="A174" s="10" t="inlineStr">
        <is>
          <t>Lunch &amp; Learn series (internal)</t>
        </is>
      </c>
      <c r="B174" s="3" t="inlineStr">
        <is>
          <t>Colleague attendances</t>
        </is>
      </c>
      <c r="C174" s="12" t="n">
        <v>46143</v>
      </c>
      <c r="D174" s="10" t="n">
        <v>140</v>
      </c>
      <c r="E174" s="10" t="inlineStr">
        <is>
          <t>measured</t>
        </is>
      </c>
      <c r="F174" s="3" t="n"/>
      <c r="G174" s="10" t="inlineStr">
        <is>
          <t>Priya Shah</t>
        </is>
      </c>
    </row>
    <row r="175">
      <c r="A175" s="10" t="inlineStr">
        <is>
          <t>Lunch &amp; Learn series (internal)</t>
        </is>
      </c>
      <c r="B175" s="3" t="inlineStr">
        <is>
          <t>Colleague attendances</t>
        </is>
      </c>
      <c r="C175" s="12" t="n">
        <v>46174</v>
      </c>
      <c r="D175" s="10" t="n">
        <v>160</v>
      </c>
      <c r="E175" s="10" t="inlineStr">
        <is>
          <t>measured</t>
        </is>
      </c>
      <c r="F175" s="3" t="n"/>
      <c r="G175" s="10" t="inlineStr">
        <is>
          <t>Priya Shah</t>
        </is>
      </c>
    </row>
    <row r="176">
      <c r="A176" s="10" t="inlineStr">
        <is>
          <t>Lunch &amp; Learn series (internal)</t>
        </is>
      </c>
      <c r="B176" s="3" t="inlineStr">
        <is>
          <t>Colleague attendances</t>
        </is>
      </c>
      <c r="C176" s="12" t="n">
        <v>46204</v>
      </c>
      <c r="D176" s="10" t="n">
        <v>90</v>
      </c>
      <c r="E176" s="10" t="inlineStr">
        <is>
          <t>measured</t>
        </is>
      </c>
      <c r="F176" s="3" t="n"/>
      <c r="G176" s="10" t="inlineStr">
        <is>
          <t>Priya Shah</t>
        </is>
      </c>
    </row>
    <row r="177">
      <c r="A177" s="10" t="inlineStr">
        <is>
          <t>Lunch &amp; Learn series (internal)</t>
        </is>
      </c>
      <c r="B177" s="3" t="inlineStr">
        <is>
          <t>Colleague attendances</t>
        </is>
      </c>
      <c r="C177" s="12" t="n">
        <v>46235</v>
      </c>
      <c r="D177" s="10" t="n">
        <v>70</v>
      </c>
      <c r="E177" s="10" t="inlineStr">
        <is>
          <t>measured</t>
        </is>
      </c>
      <c r="F177" s="3" t="n"/>
      <c r="G177" s="10" t="inlineStr">
        <is>
          <t>Priya Shah</t>
        </is>
      </c>
    </row>
    <row r="178">
      <c r="A178" s="10" t="inlineStr">
        <is>
          <t>Lunch &amp; Learn series (internal)</t>
        </is>
      </c>
      <c r="B178" s="3" t="inlineStr">
        <is>
          <t>Colleague attendances</t>
        </is>
      </c>
      <c r="C178" s="12" t="n">
        <v>46266</v>
      </c>
      <c r="D178" s="10" t="n">
        <v>150</v>
      </c>
      <c r="E178" s="10" t="inlineStr">
        <is>
          <t>measured</t>
        </is>
      </c>
      <c r="F178" s="3" t="n"/>
      <c r="G178" s="10" t="inlineStr">
        <is>
          <t>Priya Shah</t>
        </is>
      </c>
    </row>
    <row r="179">
      <c r="A179" s="10" t="inlineStr">
        <is>
          <t>Lunch &amp; Learn series (internal)</t>
        </is>
      </c>
      <c r="B179" s="3" t="inlineStr">
        <is>
          <t>Attendees who understand the programme better</t>
        </is>
      </c>
      <c r="C179" s="12" t="n">
        <v>46174</v>
      </c>
      <c r="D179" s="10" t="n">
        <v>72</v>
      </c>
      <c r="E179" s="10" t="inlineStr">
        <is>
          <t>self-reported</t>
        </is>
      </c>
      <c r="F179" s="3" t="n"/>
      <c r="G179" s="10" t="inlineStr">
        <is>
          <t>Priya Shah</t>
        </is>
      </c>
    </row>
    <row r="180">
      <c r="A180" s="10" t="inlineStr">
        <is>
          <t>Lunch &amp; Learn series (internal)</t>
        </is>
      </c>
      <c r="B180" s="3" t="inlineStr">
        <is>
          <t>Attendees who understand the programme better</t>
        </is>
      </c>
      <c r="C180" s="12" t="n">
        <v>46266</v>
      </c>
      <c r="D180" s="10" t="n">
        <v>76</v>
      </c>
      <c r="E180" s="10" t="inlineStr">
        <is>
          <t>self-reported</t>
        </is>
      </c>
      <c r="F180" s="3" t="n"/>
      <c r="G180" s="10" t="inlineStr">
        <is>
          <t>Priya Shah</t>
        </is>
      </c>
    </row>
    <row r="181">
      <c r="A181" s="10" t="inlineStr">
        <is>
          <t>Policy Engagement on Local News</t>
        </is>
      </c>
      <c r="B181" s="3" t="inlineStr">
        <is>
          <t>Policymaker briefings held</t>
        </is>
      </c>
      <c r="C181" s="12" t="n">
        <v>46113</v>
      </c>
      <c r="D181" s="10" t="n">
        <v>1</v>
      </c>
      <c r="E181" s="10" t="inlineStr">
        <is>
          <t>measured</t>
        </is>
      </c>
      <c r="F181" s="3" t="n"/>
      <c r="G181" s="10" t="inlineStr">
        <is>
          <t>Daniel Mensah</t>
        </is>
      </c>
    </row>
    <row r="182">
      <c r="A182" s="10" t="inlineStr">
        <is>
          <t>Policy Engagement on Local News</t>
        </is>
      </c>
      <c r="B182" s="3" t="inlineStr">
        <is>
          <t>Policymaker briefings held</t>
        </is>
      </c>
      <c r="C182" s="12" t="n">
        <v>46143</v>
      </c>
      <c r="D182" s="10" t="n">
        <v>2</v>
      </c>
      <c r="E182" s="10" t="inlineStr">
        <is>
          <t>measured</t>
        </is>
      </c>
      <c r="F182" s="3" t="n"/>
      <c r="G182" s="10" t="inlineStr">
        <is>
          <t>Daniel Mensah</t>
        </is>
      </c>
    </row>
    <row r="183">
      <c r="A183" s="10" t="inlineStr">
        <is>
          <t>Policy Engagement on Local News</t>
        </is>
      </c>
      <c r="B183" s="3" t="inlineStr">
        <is>
          <t>Policymaker briefings held</t>
        </is>
      </c>
      <c r="C183" s="12" t="n">
        <v>46174</v>
      </c>
      <c r="D183" s="10" t="n">
        <v>2</v>
      </c>
      <c r="E183" s="10" t="inlineStr">
        <is>
          <t>measured</t>
        </is>
      </c>
      <c r="F183" s="3" t="n"/>
      <c r="G183" s="10" t="inlineStr">
        <is>
          <t>Daniel Mensah</t>
        </is>
      </c>
    </row>
    <row r="184">
      <c r="A184" s="10" t="inlineStr">
        <is>
          <t>Policy Engagement on Local News</t>
        </is>
      </c>
      <c r="B184" s="3" t="inlineStr">
        <is>
          <t>Policymaker briefings held</t>
        </is>
      </c>
      <c r="C184" s="12" t="n">
        <v>46204</v>
      </c>
      <c r="D184" s="10" t="n">
        <v>1</v>
      </c>
      <c r="E184" s="10" t="inlineStr">
        <is>
          <t>measured</t>
        </is>
      </c>
      <c r="F184" s="3" t="n"/>
      <c r="G184" s="10" t="inlineStr">
        <is>
          <t>Daniel Mensah</t>
        </is>
      </c>
    </row>
    <row r="185">
      <c r="A185" s="10" t="inlineStr">
        <is>
          <t>Policy Engagement on Local News</t>
        </is>
      </c>
      <c r="B185" s="3" t="inlineStr">
        <is>
          <t>Policymaker briefings held</t>
        </is>
      </c>
      <c r="C185" s="12" t="n">
        <v>46235</v>
      </c>
      <c r="D185" s="10" t="n">
        <v>3</v>
      </c>
      <c r="E185" s="10" t="inlineStr">
        <is>
          <t>measured</t>
        </is>
      </c>
      <c r="F185" s="3" t="n"/>
      <c r="G185" s="10" t="inlineStr">
        <is>
          <t>Daniel Mensah</t>
        </is>
      </c>
    </row>
    <row r="186">
      <c r="A186" s="10" t="inlineStr">
        <is>
          <t>Policy Engagement on Local News</t>
        </is>
      </c>
      <c r="B186" s="3" t="inlineStr">
        <is>
          <t>Policymaker briefings held</t>
        </is>
      </c>
      <c r="C186" s="12" t="n">
        <v>46266</v>
      </c>
      <c r="D186" s="10" t="n">
        <v>2</v>
      </c>
      <c r="E186" s="10" t="inlineStr">
        <is>
          <t>measured</t>
        </is>
      </c>
      <c r="F186" s="3" t="n"/>
      <c r="G186" s="10" t="inlineStr">
        <is>
          <t>Daniel Mensah</t>
        </is>
      </c>
    </row>
    <row r="187">
      <c r="A187" s="10" t="inlineStr">
        <is>
          <t>Policy Engagement on Local News</t>
        </is>
      </c>
      <c r="B187" s="3" t="inlineStr">
        <is>
          <t>Written submissions to consultations</t>
        </is>
      </c>
      <c r="C187" s="12" t="n">
        <v>46113</v>
      </c>
      <c r="D187" s="10" t="n">
        <v>0</v>
      </c>
      <c r="E187" s="10" t="inlineStr">
        <is>
          <t>measured</t>
        </is>
      </c>
      <c r="F187" s="3" t="n"/>
      <c r="G187" s="10" t="inlineStr">
        <is>
          <t>Daniel Mensah</t>
        </is>
      </c>
    </row>
    <row r="188">
      <c r="A188" s="10" t="inlineStr">
        <is>
          <t>Policy Engagement on Local News</t>
        </is>
      </c>
      <c r="B188" s="3" t="inlineStr">
        <is>
          <t>Written submissions to consultations</t>
        </is>
      </c>
      <c r="C188" s="12" t="n">
        <v>46143</v>
      </c>
      <c r="D188" s="10" t="n">
        <v>1</v>
      </c>
      <c r="E188" s="10" t="inlineStr">
        <is>
          <t>measured</t>
        </is>
      </c>
      <c r="F188" s="3" t="n"/>
      <c r="G188" s="10" t="inlineStr">
        <is>
          <t>Daniel Mensah</t>
        </is>
      </c>
    </row>
    <row r="189">
      <c r="A189" s="10" t="inlineStr">
        <is>
          <t>Policy Engagement on Local News</t>
        </is>
      </c>
      <c r="B189" s="3" t="inlineStr">
        <is>
          <t>Written submissions to consultations</t>
        </is>
      </c>
      <c r="C189" s="12" t="n">
        <v>46174</v>
      </c>
      <c r="D189" s="10" t="n">
        <v>0</v>
      </c>
      <c r="E189" s="10" t="inlineStr">
        <is>
          <t>measured</t>
        </is>
      </c>
      <c r="F189" s="3" t="n"/>
      <c r="G189" s="10" t="inlineStr">
        <is>
          <t>Daniel Mensah</t>
        </is>
      </c>
    </row>
    <row r="190">
      <c r="A190" s="10" t="inlineStr">
        <is>
          <t>Policy Engagement on Local News</t>
        </is>
      </c>
      <c r="B190" s="3" t="inlineStr">
        <is>
          <t>Written submissions to consultations</t>
        </is>
      </c>
      <c r="C190" s="12" t="n">
        <v>46204</v>
      </c>
      <c r="D190" s="10" t="n">
        <v>1</v>
      </c>
      <c r="E190" s="10" t="inlineStr">
        <is>
          <t>measured</t>
        </is>
      </c>
      <c r="F190" s="3" t="n"/>
      <c r="G190" s="10" t="inlineStr">
        <is>
          <t>Daniel Mensah</t>
        </is>
      </c>
    </row>
    <row r="191">
      <c r="A191" s="10" t="inlineStr">
        <is>
          <t>Policy Engagement on Local News</t>
        </is>
      </c>
      <c r="B191" s="3" t="inlineStr">
        <is>
          <t>Written submissions to consultations</t>
        </is>
      </c>
      <c r="C191" s="12" t="n">
        <v>46235</v>
      </c>
      <c r="D191" s="10" t="n">
        <v>0</v>
      </c>
      <c r="E191" s="10" t="inlineStr">
        <is>
          <t>measured</t>
        </is>
      </c>
      <c r="F191" s="3" t="n"/>
      <c r="G191" s="10" t="inlineStr">
        <is>
          <t>Daniel Mensah</t>
        </is>
      </c>
    </row>
    <row r="192">
      <c r="A192" s="10" t="inlineStr">
        <is>
          <t>Policy Engagement on Local News</t>
        </is>
      </c>
      <c r="B192" s="3" t="inlineStr">
        <is>
          <t>Written submissions to consultations</t>
        </is>
      </c>
      <c r="C192" s="12" t="n">
        <v>46266</v>
      </c>
      <c r="D192" s="10" t="n">
        <v>1</v>
      </c>
      <c r="E192" s="10" t="inlineStr">
        <is>
          <t>measured</t>
        </is>
      </c>
      <c r="F192" s="3" t="n"/>
      <c r="G192" s="10" t="inlineStr">
        <is>
          <t>Daniel Mensah</t>
        </is>
      </c>
    </row>
    <row r="193">
      <c r="A193" s="10" t="inlineStr">
        <is>
          <t>Policy Engagement on Local News</t>
        </is>
      </c>
      <c r="B193" s="3" t="inlineStr">
        <is>
          <t>Policymakers engaged</t>
        </is>
      </c>
      <c r="C193" s="12" t="n">
        <v>46113</v>
      </c>
      <c r="D193" s="10" t="n">
        <v>3</v>
      </c>
      <c r="E193" s="10" t="inlineStr">
        <is>
          <t>measured</t>
        </is>
      </c>
      <c r="F193" s="3" t="n"/>
      <c r="G193" s="10" t="inlineStr">
        <is>
          <t>Daniel Mensah</t>
        </is>
      </c>
    </row>
    <row r="194">
      <c r="A194" s="10" t="inlineStr">
        <is>
          <t>Policy Engagement on Local News</t>
        </is>
      </c>
      <c r="B194" s="3" t="inlineStr">
        <is>
          <t>Policymakers engaged</t>
        </is>
      </c>
      <c r="C194" s="12" t="n">
        <v>46143</v>
      </c>
      <c r="D194" s="10" t="n">
        <v>6</v>
      </c>
      <c r="E194" s="10" t="inlineStr">
        <is>
          <t>measured</t>
        </is>
      </c>
      <c r="F194" s="3" t="n"/>
      <c r="G194" s="10" t="inlineStr">
        <is>
          <t>Daniel Mensah</t>
        </is>
      </c>
    </row>
    <row r="195">
      <c r="A195" s="10" t="inlineStr">
        <is>
          <t>Policy Engagement on Local News</t>
        </is>
      </c>
      <c r="B195" s="3" t="inlineStr">
        <is>
          <t>Policymakers engaged</t>
        </is>
      </c>
      <c r="C195" s="12" t="n">
        <v>46174</v>
      </c>
      <c r="D195" s="10" t="n">
        <v>5</v>
      </c>
      <c r="E195" s="10" t="inlineStr">
        <is>
          <t>measured</t>
        </is>
      </c>
      <c r="F195" s="3" t="n"/>
      <c r="G195" s="10" t="inlineStr">
        <is>
          <t>Daniel Mensah</t>
        </is>
      </c>
    </row>
    <row r="196">
      <c r="A196" s="10" t="inlineStr">
        <is>
          <t>Policy Engagement on Local News</t>
        </is>
      </c>
      <c r="B196" s="3" t="inlineStr">
        <is>
          <t>Policymakers engaged</t>
        </is>
      </c>
      <c r="C196" s="12" t="n">
        <v>46204</v>
      </c>
      <c r="D196" s="10" t="n">
        <v>4</v>
      </c>
      <c r="E196" s="10" t="inlineStr">
        <is>
          <t>measured</t>
        </is>
      </c>
      <c r="F196" s="3" t="n"/>
      <c r="G196" s="10" t="inlineStr">
        <is>
          <t>Daniel Mensah</t>
        </is>
      </c>
    </row>
    <row r="197">
      <c r="A197" s="10" t="inlineStr">
        <is>
          <t>Policy Engagement on Local News</t>
        </is>
      </c>
      <c r="B197" s="3" t="inlineStr">
        <is>
          <t>Policymakers engaged</t>
        </is>
      </c>
      <c r="C197" s="12" t="n">
        <v>46235</v>
      </c>
      <c r="D197" s="10" t="n">
        <v>8</v>
      </c>
      <c r="E197" s="10" t="inlineStr">
        <is>
          <t>measured</t>
        </is>
      </c>
      <c r="F197" s="3" t="n"/>
      <c r="G197" s="10" t="inlineStr">
        <is>
          <t>Daniel Mensah</t>
        </is>
      </c>
    </row>
    <row r="198">
      <c r="A198" s="10" t="inlineStr">
        <is>
          <t>Policy Engagement on Local News</t>
        </is>
      </c>
      <c r="B198" s="3" t="inlineStr">
        <is>
          <t>Policymakers engaged</t>
        </is>
      </c>
      <c r="C198" s="12" t="n">
        <v>46266</v>
      </c>
      <c r="D198" s="10" t="n">
        <v>6</v>
      </c>
      <c r="E198" s="10" t="inlineStr">
        <is>
          <t>measured</t>
        </is>
      </c>
      <c r="F198" s="3" t="n"/>
      <c r="G198" s="10" t="inlineStr">
        <is>
          <t>Daniel Mensah</t>
        </is>
      </c>
    </row>
    <row r="199">
      <c r="A199" s="10" t="inlineStr">
        <is>
          <t>Policy Engagement on Local News</t>
        </is>
      </c>
      <c r="B199" s="3" t="inlineStr">
        <is>
          <t>Programme evidence cited in policy documents</t>
        </is>
      </c>
      <c r="C199" s="12" t="n">
        <v>46113</v>
      </c>
      <c r="D199" s="10" t="n">
        <v>0</v>
      </c>
      <c r="E199" s="10" t="inlineStr">
        <is>
          <t>measured</t>
        </is>
      </c>
      <c r="F199" s="3" t="n"/>
      <c r="G199" s="10" t="inlineStr">
        <is>
          <t>Daniel Mensah</t>
        </is>
      </c>
    </row>
    <row r="200">
      <c r="A200" s="10" t="inlineStr">
        <is>
          <t>Policy Engagement on Local News</t>
        </is>
      </c>
      <c r="B200" s="3" t="inlineStr">
        <is>
          <t>Programme evidence cited in policy documents</t>
        </is>
      </c>
      <c r="C200" s="12" t="n">
        <v>46143</v>
      </c>
      <c r="D200" s="10" t="n">
        <v>0</v>
      </c>
      <c r="E200" s="10" t="inlineStr">
        <is>
          <t>measured</t>
        </is>
      </c>
      <c r="F200" s="3" t="n"/>
      <c r="G200" s="10" t="inlineStr">
        <is>
          <t>Daniel Mensah</t>
        </is>
      </c>
    </row>
    <row r="201">
      <c r="A201" s="10" t="inlineStr">
        <is>
          <t>Policy Engagement on Local News</t>
        </is>
      </c>
      <c r="B201" s="3" t="inlineStr">
        <is>
          <t>Programme evidence cited in policy documents</t>
        </is>
      </c>
      <c r="C201" s="12" t="n">
        <v>46174</v>
      </c>
      <c r="D201" s="10" t="n">
        <v>1</v>
      </c>
      <c r="E201" s="10" t="inlineStr">
        <is>
          <t>measured</t>
        </is>
      </c>
      <c r="F201" s="3" t="n"/>
      <c r="G201" s="10" t="inlineStr">
        <is>
          <t>Daniel Mensah</t>
        </is>
      </c>
    </row>
    <row r="202">
      <c r="A202" s="10" t="inlineStr">
        <is>
          <t>Policy Engagement on Local News</t>
        </is>
      </c>
      <c r="B202" s="3" t="inlineStr">
        <is>
          <t>Programme evidence cited in policy documents</t>
        </is>
      </c>
      <c r="C202" s="12" t="n">
        <v>46204</v>
      </c>
      <c r="D202" s="10" t="n">
        <v>1</v>
      </c>
      <c r="E202" s="10" t="inlineStr">
        <is>
          <t>measured</t>
        </is>
      </c>
      <c r="F202" s="3" t="n"/>
      <c r="G202" s="10" t="inlineStr">
        <is>
          <t>Daniel Mensah</t>
        </is>
      </c>
    </row>
    <row r="203">
      <c r="A203" s="10" t="inlineStr">
        <is>
          <t>Policy Engagement on Local News</t>
        </is>
      </c>
      <c r="B203" s="3" t="inlineStr">
        <is>
          <t>Programme evidence cited in policy documents</t>
        </is>
      </c>
      <c r="C203" s="12" t="n">
        <v>46235</v>
      </c>
      <c r="D203" s="10" t="n">
        <v>1</v>
      </c>
      <c r="E203" s="10" t="inlineStr">
        <is>
          <t>measured</t>
        </is>
      </c>
      <c r="F203" s="3" t="n"/>
      <c r="G203" s="10" t="inlineStr">
        <is>
          <t>Daniel Mensah</t>
        </is>
      </c>
    </row>
    <row r="204">
      <c r="A204" s="10" t="inlineStr">
        <is>
          <t>Policy Engagement on Local News</t>
        </is>
      </c>
      <c r="B204" s="3" t="inlineStr">
        <is>
          <t>Programme evidence cited in policy documents</t>
        </is>
      </c>
      <c r="C204" s="12" t="n">
        <v>46266</v>
      </c>
      <c r="D204" s="10" t="n">
        <v>1</v>
      </c>
      <c r="E204" s="10" t="inlineStr">
        <is>
          <t>measured</t>
        </is>
      </c>
      <c r="F204" s="3" t="n"/>
      <c r="G204" s="10" t="inlineStr">
        <is>
          <t>Daniel Mensah</t>
        </is>
      </c>
    </row>
    <row r="205">
      <c r="A205" s="10" t="inlineStr">
        <is>
          <t>Policy Engagement on Local News</t>
        </is>
      </c>
      <c r="B205" s="3" t="inlineStr">
        <is>
          <t>Follow-up requests from officials</t>
        </is>
      </c>
      <c r="C205" s="12" t="n">
        <v>46113</v>
      </c>
      <c r="D205" s="10" t="n">
        <v>0</v>
      </c>
      <c r="E205" s="10" t="inlineStr">
        <is>
          <t>measured</t>
        </is>
      </c>
      <c r="F205" s="3" t="n"/>
      <c r="G205" s="10" t="inlineStr">
        <is>
          <t>Daniel Mensah</t>
        </is>
      </c>
    </row>
    <row r="206">
      <c r="A206" s="10" t="inlineStr">
        <is>
          <t>Policy Engagement on Local News</t>
        </is>
      </c>
      <c r="B206" s="3" t="inlineStr">
        <is>
          <t>Follow-up requests from officials</t>
        </is>
      </c>
      <c r="C206" s="12" t="n">
        <v>46143</v>
      </c>
      <c r="D206" s="10" t="n">
        <v>1</v>
      </c>
      <c r="E206" s="10" t="inlineStr">
        <is>
          <t>measured</t>
        </is>
      </c>
      <c r="F206" s="3" t="n"/>
      <c r="G206" s="10" t="inlineStr">
        <is>
          <t>Daniel Mensah</t>
        </is>
      </c>
    </row>
    <row r="207">
      <c r="A207" s="10" t="inlineStr">
        <is>
          <t>Policy Engagement on Local News</t>
        </is>
      </c>
      <c r="B207" s="3" t="inlineStr">
        <is>
          <t>Follow-up requests from officials</t>
        </is>
      </c>
      <c r="C207" s="12" t="n">
        <v>46174</v>
      </c>
      <c r="D207" s="10" t="n">
        <v>2</v>
      </c>
      <c r="E207" s="10" t="inlineStr">
        <is>
          <t>measured</t>
        </is>
      </c>
      <c r="F207" s="3" t="n"/>
      <c r="G207" s="10" t="inlineStr">
        <is>
          <t>Daniel Mensah</t>
        </is>
      </c>
    </row>
    <row r="208">
      <c r="A208" s="10" t="inlineStr">
        <is>
          <t>Policy Engagement on Local News</t>
        </is>
      </c>
      <c r="B208" s="3" t="inlineStr">
        <is>
          <t>Follow-up requests from officials</t>
        </is>
      </c>
      <c r="C208" s="12" t="n">
        <v>46204</v>
      </c>
      <c r="D208" s="10" t="n">
        <v>1</v>
      </c>
      <c r="E208" s="10" t="inlineStr">
        <is>
          <t>measured</t>
        </is>
      </c>
      <c r="F208" s="3" t="n"/>
      <c r="G208" s="10" t="inlineStr">
        <is>
          <t>Daniel Mensah</t>
        </is>
      </c>
    </row>
    <row r="209">
      <c r="A209" s="10" t="inlineStr">
        <is>
          <t>Policy Engagement on Local News</t>
        </is>
      </c>
      <c r="B209" s="3" t="inlineStr">
        <is>
          <t>Follow-up requests from officials</t>
        </is>
      </c>
      <c r="C209" s="12" t="n">
        <v>46235</v>
      </c>
      <c r="D209" s="10" t="n">
        <v>3</v>
      </c>
      <c r="E209" s="10" t="inlineStr">
        <is>
          <t>measured</t>
        </is>
      </c>
      <c r="F209" s="3" t="n"/>
      <c r="G209" s="10" t="inlineStr">
        <is>
          <t>Daniel Mensah</t>
        </is>
      </c>
    </row>
    <row r="210">
      <c r="A210" s="10" t="inlineStr">
        <is>
          <t>Policy Engagement on Local News</t>
        </is>
      </c>
      <c r="B210" s="3" t="inlineStr">
        <is>
          <t>Follow-up requests from officials</t>
        </is>
      </c>
      <c r="C210" s="12" t="n">
        <v>46266</v>
      </c>
      <c r="D210" s="10" t="n">
        <v>2</v>
      </c>
      <c r="E210" s="10" t="inlineStr">
        <is>
          <t>measured</t>
        </is>
      </c>
      <c r="F210" s="3" t="n"/>
      <c r="G210" s="10" t="inlineStr">
        <is>
          <t>Daniel Mensah</t>
        </is>
      </c>
    </row>
  </sheetData>
  <autoFilter ref="A1:G210"/>
  <dataValidations count="3">
    <dataValidation sqref="A2:A2000" showDropDown="0" showInputMessage="0" showErrorMessage="1" allowBlank="1" errorTitle="Choose from the list" error="Pick a value from the dropdown." type="list">
      <formula1>Initiatives!$A$2:$A$500</formula1>
    </dataValidation>
    <dataValidation sqref="E2:E2000" showDropDown="0" showInputMessage="0" showErrorMessage="1" allowBlank="1" errorTitle="Choose from the list" error="Pick a value from the dropdown." type="list">
      <formula1>"measured,self-reported,estimated,modelled"</formula1>
    </dataValidation>
    <dataValidation sqref="G2:G2000" showDropDown="0" showInputMessage="0" showErrorMessage="1" allowBlank="1" errorTitle="Choose from the list" error="Pick a value from the dropdown." type="list">
      <formula1>People!$A$2:$A$300</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10" customWidth="1" min="3" max="3"/>
    <col width="14" customWidth="1" min="4" max="4"/>
    <col width="13" customWidth="1" min="5" max="5"/>
    <col width="16" customWidth="1" min="6" max="6"/>
    <col width="11" customWidth="1" min="7" max="7"/>
    <col width="22" customWidth="1" min="8" max="8"/>
  </cols>
  <sheetData>
    <row r="1" ht="30" customHeight="1">
      <c r="A1" s="5" t="inlineStr">
        <is>
          <t>Name</t>
        </is>
      </c>
      <c r="B1" s="5" t="inlineStr">
        <is>
          <t>Definition</t>
        </is>
      </c>
      <c r="C1" s="5" t="inlineStr">
        <is>
          <t>Level</t>
        </is>
      </c>
      <c r="D1" s="5" t="inlineStr">
        <is>
          <t>Unit</t>
        </is>
      </c>
      <c r="E1" s="5" t="inlineStr">
        <is>
          <t>Good direction</t>
        </is>
      </c>
      <c r="F1" s="5" t="inlineStr">
        <is>
          <t>How entries combine</t>
        </is>
      </c>
      <c r="G1" s="5" t="inlineStr">
        <is>
          <t>Frequency</t>
        </is>
      </c>
      <c r="H1" s="5" t="inlineStr">
        <is>
          <t>Data source</t>
        </is>
      </c>
    </row>
    <row r="2">
      <c r="A2" s="10" t="inlineStr">
        <is>
          <t>Audience trust score</t>
        </is>
      </c>
      <c r="B2" s="3" t="inlineStr">
        <is>
          <t>Mean answer to 'How much do you trust this outlet?' on a 1-10 scale.</t>
        </is>
      </c>
      <c r="C2" s="10" t="inlineStr">
        <is>
          <t>outcome</t>
        </is>
      </c>
      <c r="D2" s="10" t="inlineStr">
        <is>
          <t>score (1-10)</t>
        </is>
      </c>
      <c r="E2" s="10" t="inlineStr">
        <is>
          <t>increase</t>
        </is>
      </c>
      <c r="F2" s="10" t="inlineStr">
        <is>
          <t>point</t>
        </is>
      </c>
      <c r="G2" s="10" t="inlineStr">
        <is>
          <t>quarterly</t>
        </is>
      </c>
      <c r="H2" s="10" t="inlineStr">
        <is>
          <t>Reader survey</t>
        </is>
      </c>
    </row>
    <row r="3">
      <c r="A3" s="10" t="inlineStr">
        <is>
          <t>Organisations onboarded</t>
        </is>
      </c>
      <c r="B3" s="3" t="inlineStr">
        <is>
          <t>Organisations with an active account and a completed onboarding call.</t>
        </is>
      </c>
      <c r="C3" s="10" t="inlineStr">
        <is>
          <t>activity</t>
        </is>
      </c>
      <c r="D3" s="10" t="inlineStr">
        <is>
          <t>organisations</t>
        </is>
      </c>
      <c r="E3" s="10" t="inlineStr">
        <is>
          <t>increase</t>
        </is>
      </c>
      <c r="F3" s="10" t="inlineStr">
        <is>
          <t>cumulative</t>
        </is>
      </c>
      <c r="G3" s="10" t="inlineStr">
        <is>
          <t>monthly</t>
        </is>
      </c>
      <c r="H3" s="10" t="inlineStr">
        <is>
          <t>CRM</t>
        </is>
      </c>
    </row>
    <row r="4">
      <c r="A4" s="10" t="inlineStr">
        <is>
          <t>People trained</t>
        </is>
      </c>
      <c r="B4" s="3" t="inlineStr">
        <is>
          <t>Unique people completing at least one full training session.</t>
        </is>
      </c>
      <c r="C4" s="10" t="inlineStr">
        <is>
          <t>output</t>
        </is>
      </c>
      <c r="D4" s="10" t="inlineStr">
        <is>
          <t>people</t>
        </is>
      </c>
      <c r="E4" s="10" t="inlineStr">
        <is>
          <t>increase</t>
        </is>
      </c>
      <c r="F4" s="10" t="inlineStr">
        <is>
          <t>cumulative</t>
        </is>
      </c>
      <c r="G4" s="10" t="inlineStr">
        <is>
          <t>monthly</t>
        </is>
      </c>
      <c r="H4" s="10" t="inlineStr">
        <is>
          <t>Attendance registers</t>
        </is>
      </c>
    </row>
    <row r="5">
      <c r="A5" s="10" t="inlineStr">
        <is>
          <t>Trainees applying new skills</t>
        </is>
      </c>
      <c r="B5" s="3" t="inlineStr">
        <is>
          <t>Share of trainees who report using a technique from training in the last month, surveyed 8+ weeks after training.</t>
        </is>
      </c>
      <c r="C5" s="10" t="inlineStr">
        <is>
          <t>outcome</t>
        </is>
      </c>
      <c r="D5" s="10" t="inlineStr">
        <is>
          <t>%</t>
        </is>
      </c>
      <c r="E5" s="10" t="inlineStr">
        <is>
          <t>increase</t>
        </is>
      </c>
      <c r="F5" s="10" t="inlineStr">
        <is>
          <t>point</t>
        </is>
      </c>
      <c r="G5" s="10" t="inlineStr">
        <is>
          <t>quarterly</t>
        </is>
      </c>
      <c r="H5" s="10" t="inlineStr">
        <is>
          <t>Follow-up survey</t>
        </is>
      </c>
    </row>
  </sheetData>
  <autoFilter ref="A1:H5"/>
  <dataValidations count="4">
    <dataValidation sqref="C2:C2000" showDropDown="0" showInputMessage="0" showErrorMessage="1" allowBlank="1" errorTitle="Choose from the list" error="Pick a value from the dropdown." type="list">
      <formula1>"input,activity,output,outcome,impact"</formula1>
    </dataValidation>
    <dataValidation sqref="E2:E2000" showDropDown="0" showInputMessage="0" showErrorMessage="1" allowBlank="1" errorTitle="Choose from the list" error="Pick a value from the dropdown." type="list">
      <formula1>"increase,decrease"</formula1>
    </dataValidation>
    <dataValidation sqref="F2:F2000" showDropDown="0" showInputMessage="0" showErrorMessage="1" allowBlank="1" errorTitle="Choose from the list" error="Pick a value from the dropdown." type="list">
      <formula1>"point,cumulative"</formula1>
    </dataValidation>
    <dataValidation sqref="G2:G2000" showDropDown="0" showInputMessage="0" showErrorMessage="1" allowBlank="1" errorTitle="Choose from the list" error="Pick a value from the dropdown." type="list">
      <formula1>"weekly,monthly,quarterly,annually,ad-hoc"</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30" customWidth="1" min="1" max="1"/>
    <col width="36" customWidth="1" min="2" max="2"/>
    <col width="11" customWidth="1" min="3" max="3"/>
    <col width="11" customWidth="1" min="4" max="4"/>
    <col width="12" customWidth="1" min="5" max="5"/>
    <col width="12" customWidth="1" min="6" max="6"/>
    <col width="10" customWidth="1" min="7" max="7"/>
    <col width="28" customWidth="1" min="8" max="8"/>
    <col width="44" customWidth="1" min="9" max="9"/>
  </cols>
  <sheetData>
    <row r="1" ht="30" customHeight="1">
      <c r="A1" s="5" t="inlineStr">
        <is>
          <t>Initiative</t>
        </is>
      </c>
      <c r="B1" s="5" t="inlineStr">
        <is>
          <t>Campaign</t>
        </is>
      </c>
      <c r="C1" s="5" t="inlineStr">
        <is>
          <t>Channel</t>
        </is>
      </c>
      <c r="D1" s="5" t="inlineStr">
        <is>
          <t>Audience</t>
        </is>
      </c>
      <c r="E1" s="5" t="inlineStr">
        <is>
          <t>Start date</t>
        </is>
      </c>
      <c r="F1" s="5" t="inlineStr">
        <is>
          <t>End date</t>
        </is>
      </c>
      <c r="G1" s="5" t="inlineStr">
        <is>
          <t>Spend</t>
        </is>
      </c>
      <c r="H1" s="5" t="inlineStr">
        <is>
          <t>Tracking tag</t>
        </is>
      </c>
      <c r="I1" s="5" t="inlineStr">
        <is>
          <t>Notes</t>
        </is>
      </c>
    </row>
    <row r="2">
      <c r="A2" s="10" t="inlineStr">
        <is>
          <t>Newsroom Digital Skills Training</t>
        </is>
      </c>
      <c r="B2" s="3" t="inlineStr">
        <is>
          <t>Local News Matters (YouTube series)</t>
        </is>
      </c>
      <c r="C2" s="10" t="inlineStr">
        <is>
          <t>youtube</t>
        </is>
      </c>
      <c r="D2" s="10" t="inlineStr">
        <is>
          <t>external</t>
        </is>
      </c>
      <c r="E2" s="12" t="n">
        <v>46127</v>
      </c>
      <c r="F2" s="12" t="n">
        <v>46203</v>
      </c>
      <c r="G2" s="11" t="n">
        <v>6000</v>
      </c>
      <c r="H2" s="10" t="inlineStr">
        <is>
          <t>utm_campaign=lnm_youtube_2026</t>
        </is>
      </c>
      <c r="I2" s="3" t="inlineStr">
        <is>
          <t>Six short documentaries on local newsrooms, each linking to the featured outlet.</t>
        </is>
      </c>
    </row>
    <row r="3">
      <c r="A3" s="10" t="inlineStr">
        <is>
          <t>Newsroom Digital Skills Training</t>
        </is>
      </c>
      <c r="B3" s="3" t="inlineStr">
        <is>
          <t>Toolkit launch email series</t>
        </is>
      </c>
      <c r="C3" s="10" t="inlineStr">
        <is>
          <t>email</t>
        </is>
      </c>
      <c r="D3" s="10" t="inlineStr">
        <is>
          <t>external</t>
        </is>
      </c>
      <c r="E3" s="12" t="n">
        <v>46143</v>
      </c>
      <c r="F3" s="12" t="n">
        <v>46173</v>
      </c>
      <c r="G3" s="11" t="n">
        <v>800</v>
      </c>
      <c r="H3" s="10" t="inlineStr">
        <is>
          <t>utm_campaign=toolkit_launch</t>
        </is>
      </c>
      <c r="I3" s="3" t="inlineStr">
        <is>
          <t>Four-email sequence to 2,300 local editors and publishers.</t>
        </is>
      </c>
    </row>
    <row r="4">
      <c r="A4" s="10" t="inlineStr">
        <is>
          <t>Newsroom Digital Skills Training</t>
        </is>
      </c>
      <c r="B4" s="3" t="inlineStr">
        <is>
          <t>Newsroom Futures roadshow</t>
        </is>
      </c>
      <c r="C4" s="10" t="inlineStr">
        <is>
          <t>events</t>
        </is>
      </c>
      <c r="D4" s="10" t="inlineStr">
        <is>
          <t>external</t>
        </is>
      </c>
      <c r="E4" s="12" t="n">
        <v>46204</v>
      </c>
      <c r="F4" s="12" t="n">
        <v>46265</v>
      </c>
      <c r="G4" s="11" t="n">
        <v>9000</v>
      </c>
      <c r="H4" s="10" t="inlineStr">
        <is>
          <t>EVT-NF26</t>
        </is>
      </c>
      <c r="I4" s="3" t="inlineStr">
        <is>
          <t>Five regional half-day events with peer case studies and toolkit demos.</t>
        </is>
      </c>
    </row>
    <row r="5">
      <c r="A5" s="10" t="inlineStr">
        <is>
          <t>Newsroom Champions (internal)</t>
        </is>
      </c>
      <c r="B5" s="3" t="inlineStr">
        <is>
          <t>Internal launch: town hall and newsletter</t>
        </is>
      </c>
      <c r="C5" s="10" t="inlineStr">
        <is>
          <t>events</t>
        </is>
      </c>
      <c r="D5" s="10" t="inlineStr">
        <is>
          <t>internal</t>
        </is>
      </c>
      <c r="E5" s="12" t="n">
        <v>46132</v>
      </c>
      <c r="F5" s="12" t="n">
        <v>46157</v>
      </c>
      <c r="G5" s="11" t="n">
        <v>2100</v>
      </c>
      <c r="H5" s="10" t="inlineStr">
        <is>
          <t>INT-LAUNCH-26</t>
        </is>
      </c>
      <c r="I5" s="3" t="inlineStr">
        <is>
          <t>Global town hall with the Comms team, followed by a four-part internal newsletter.</t>
        </is>
      </c>
    </row>
    <row r="6">
      <c r="A6" s="10" t="inlineStr">
        <is>
          <t>Newsroom Tools Partnership</t>
        </is>
      </c>
      <c r="B6" s="3" t="inlineStr">
        <is>
          <t>Tools launch webinar series</t>
        </is>
      </c>
      <c r="C6" s="10" t="inlineStr">
        <is>
          <t>events</t>
        </is>
      </c>
      <c r="D6" s="10" t="inlineStr">
        <is>
          <t>external</t>
        </is>
      </c>
      <c r="E6" s="12" t="n">
        <v>46174</v>
      </c>
      <c r="F6" s="12" t="n">
        <v>46234</v>
      </c>
      <c r="G6" s="11" t="n">
        <v>3000</v>
      </c>
      <c r="H6" s="10" t="inlineStr">
        <is>
          <t>WEB-TOOLS-26</t>
        </is>
      </c>
      <c r="I6" s="3" t="inlineStr">
        <is>
          <t>Four webinars demonstrating partner tools to newsroom leaders.</t>
        </is>
      </c>
    </row>
    <row r="7">
      <c r="A7" s="10" t="inlineStr">
        <is>
          <t>Global News Summit 2026</t>
        </is>
      </c>
      <c r="B7" s="3" t="inlineStr">
        <is>
          <t>Summit early-bird campaign</t>
        </is>
      </c>
      <c r="C7" s="10" t="inlineStr">
        <is>
          <t>social</t>
        </is>
      </c>
      <c r="D7" s="10" t="inlineStr">
        <is>
          <t>external</t>
        </is>
      </c>
      <c r="E7" s="12" t="n">
        <v>46204</v>
      </c>
      <c r="F7" s="12" t="n">
        <v>46295</v>
      </c>
      <c r="G7" s="11" t="n">
        <v>4000</v>
      </c>
      <c r="H7" s="10" t="inlineStr">
        <is>
          <t>utm_campaign=summit26_earlybird</t>
        </is>
      </c>
      <c r="I7" s="3" t="inlineStr">
        <is>
          <t>Social ads and partner newsletters promoting early-bird registration.</t>
        </is>
      </c>
    </row>
  </sheetData>
  <autoFilter ref="A1:I7"/>
  <dataValidations count="3">
    <dataValidation sqref="A2:A2000" showDropDown="0" showInputMessage="0" showErrorMessage="1" allowBlank="1" errorTitle="Choose from the list" error="Pick a value from the dropdown." type="list">
      <formula1>Initiatives!$A$2:$A$500</formula1>
    </dataValidation>
    <dataValidation sqref="C2:C2000" showDropDown="0" showInputMessage="0" showErrorMessage="1" allowBlank="1" errorTitle="Choose from the list" error="Pick a value from the dropdown." type="list">
      <formula1>"youtube,social,email,events,paid-search,press,other"</formula1>
    </dataValidation>
    <dataValidation sqref="D2:D2000" showDropDown="0" showInputMessage="0" showErrorMessage="1" allowBlank="1" errorTitle="Choose from the list" error="Pick a value from the dropdown." type="list">
      <formula1>"external,internal,both"</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30" customWidth="1" min="1" max="1"/>
    <col width="36" customWidth="1" min="2" max="2"/>
    <col width="12" customWidth="1" min="3" max="3"/>
    <col width="14" customWidth="1" min="4" max="4"/>
    <col width="10" customWidth="1" min="5" max="5"/>
  </cols>
  <sheetData>
    <row r="1" ht="30" customHeight="1">
      <c r="A1" s="5" t="inlineStr">
        <is>
          <t>Initiative</t>
        </is>
      </c>
      <c r="B1" s="5" t="inlineStr">
        <is>
          <t>Campaign</t>
        </is>
      </c>
      <c r="C1" s="5" t="inlineStr">
        <is>
          <t>Date</t>
        </is>
      </c>
      <c r="D1" s="5" t="inlineStr">
        <is>
          <t>Metric</t>
        </is>
      </c>
      <c r="E1" s="5" t="inlineStr">
        <is>
          <t>Value</t>
        </is>
      </c>
    </row>
    <row r="2">
      <c r="A2" s="10" t="inlineStr">
        <is>
          <t>Newsroom Digital Skills Training</t>
        </is>
      </c>
      <c r="B2" s="3" t="inlineStr">
        <is>
          <t>Local News Matters (YouTube series)</t>
        </is>
      </c>
      <c r="C2" s="12" t="n">
        <v>46113</v>
      </c>
      <c r="D2" s="10" t="inlineStr">
        <is>
          <t>clicks</t>
        </is>
      </c>
      <c r="E2" s="10" t="n">
        <v>1400</v>
      </c>
    </row>
    <row r="3">
      <c r="A3" s="10" t="inlineStr">
        <is>
          <t>Newsroom Digital Skills Training</t>
        </is>
      </c>
      <c r="B3" s="3" t="inlineStr">
        <is>
          <t>Local News Matters (YouTube series)</t>
        </is>
      </c>
      <c r="C3" s="12" t="n">
        <v>46113</v>
      </c>
      <c r="D3" s="10" t="inlineStr">
        <is>
          <t>impressions</t>
        </is>
      </c>
      <c r="E3" s="10" t="n">
        <v>85000</v>
      </c>
    </row>
    <row r="4">
      <c r="A4" s="10" t="inlineStr">
        <is>
          <t>Newsroom Digital Skills Training</t>
        </is>
      </c>
      <c r="B4" s="3" t="inlineStr">
        <is>
          <t>Local News Matters (YouTube series)</t>
        </is>
      </c>
      <c r="C4" s="12" t="n">
        <v>46113</v>
      </c>
      <c r="D4" s="10" t="inlineStr">
        <is>
          <t>sign-ups</t>
        </is>
      </c>
      <c r="E4" s="10" t="n">
        <v>90</v>
      </c>
    </row>
    <row r="5">
      <c r="A5" s="10" t="inlineStr">
        <is>
          <t>Newsroom Digital Skills Training</t>
        </is>
      </c>
      <c r="B5" s="3" t="inlineStr">
        <is>
          <t>Local News Matters (YouTube series)</t>
        </is>
      </c>
      <c r="C5" s="12" t="n">
        <v>46113</v>
      </c>
      <c r="D5" s="10" t="inlineStr">
        <is>
          <t>views</t>
        </is>
      </c>
      <c r="E5" s="10" t="n">
        <v>21000</v>
      </c>
    </row>
    <row r="6">
      <c r="A6" s="10" t="inlineStr">
        <is>
          <t>Newsroom Digital Skills Training</t>
        </is>
      </c>
      <c r="B6" s="3" t="inlineStr">
        <is>
          <t>Local News Matters (YouTube series)</t>
        </is>
      </c>
      <c r="C6" s="12" t="n">
        <v>46143</v>
      </c>
      <c r="D6" s="10" t="inlineStr">
        <is>
          <t>clicks</t>
        </is>
      </c>
      <c r="E6" s="10" t="n">
        <v>3100</v>
      </c>
    </row>
    <row r="7">
      <c r="A7" s="10" t="inlineStr">
        <is>
          <t>Newsroom Digital Skills Training</t>
        </is>
      </c>
      <c r="B7" s="3" t="inlineStr">
        <is>
          <t>Local News Matters (YouTube series)</t>
        </is>
      </c>
      <c r="C7" s="12" t="n">
        <v>46143</v>
      </c>
      <c r="D7" s="10" t="inlineStr">
        <is>
          <t>impressions</t>
        </is>
      </c>
      <c r="E7" s="10" t="n">
        <v>160000</v>
      </c>
    </row>
    <row r="8">
      <c r="A8" s="10" t="inlineStr">
        <is>
          <t>Newsroom Digital Skills Training</t>
        </is>
      </c>
      <c r="B8" s="3" t="inlineStr">
        <is>
          <t>Local News Matters (YouTube series)</t>
        </is>
      </c>
      <c r="C8" s="12" t="n">
        <v>46143</v>
      </c>
      <c r="D8" s="10" t="inlineStr">
        <is>
          <t>sign-ups</t>
        </is>
      </c>
      <c r="E8" s="10" t="n">
        <v>240</v>
      </c>
    </row>
    <row r="9">
      <c r="A9" s="10" t="inlineStr">
        <is>
          <t>Newsroom Digital Skills Training</t>
        </is>
      </c>
      <c r="B9" s="3" t="inlineStr">
        <is>
          <t>Local News Matters (YouTube series)</t>
        </is>
      </c>
      <c r="C9" s="12" t="n">
        <v>46143</v>
      </c>
      <c r="D9" s="10" t="inlineStr">
        <is>
          <t>views</t>
        </is>
      </c>
      <c r="E9" s="10" t="n">
        <v>46000</v>
      </c>
    </row>
    <row r="10">
      <c r="A10" s="10" t="inlineStr">
        <is>
          <t>Newsroom Digital Skills Training</t>
        </is>
      </c>
      <c r="B10" s="3" t="inlineStr">
        <is>
          <t>Local News Matters (YouTube series)</t>
        </is>
      </c>
      <c r="C10" s="12" t="n">
        <v>46174</v>
      </c>
      <c r="D10" s="10" t="inlineStr">
        <is>
          <t>clicks</t>
        </is>
      </c>
      <c r="E10" s="10" t="n">
        <v>2700</v>
      </c>
    </row>
    <row r="11">
      <c r="A11" s="10" t="inlineStr">
        <is>
          <t>Newsroom Digital Skills Training</t>
        </is>
      </c>
      <c r="B11" s="3" t="inlineStr">
        <is>
          <t>Local News Matters (YouTube series)</t>
        </is>
      </c>
      <c r="C11" s="12" t="n">
        <v>46174</v>
      </c>
      <c r="D11" s="10" t="inlineStr">
        <is>
          <t>impressions</t>
        </is>
      </c>
      <c r="E11" s="10" t="n">
        <v>140000</v>
      </c>
    </row>
    <row r="12">
      <c r="A12" s="10" t="inlineStr">
        <is>
          <t>Newsroom Digital Skills Training</t>
        </is>
      </c>
      <c r="B12" s="3" t="inlineStr">
        <is>
          <t>Local News Matters (YouTube series)</t>
        </is>
      </c>
      <c r="C12" s="12" t="n">
        <v>46174</v>
      </c>
      <c r="D12" s="10" t="inlineStr">
        <is>
          <t>sign-ups</t>
        </is>
      </c>
      <c r="E12" s="10" t="n">
        <v>210</v>
      </c>
    </row>
    <row r="13">
      <c r="A13" s="10" t="inlineStr">
        <is>
          <t>Newsroom Digital Skills Training</t>
        </is>
      </c>
      <c r="B13" s="3" t="inlineStr">
        <is>
          <t>Local News Matters (YouTube series)</t>
        </is>
      </c>
      <c r="C13" s="12" t="n">
        <v>46174</v>
      </c>
      <c r="D13" s="10" t="inlineStr">
        <is>
          <t>views</t>
        </is>
      </c>
      <c r="E13" s="10" t="n">
        <v>39000</v>
      </c>
    </row>
    <row r="14">
      <c r="A14" s="10" t="inlineStr">
        <is>
          <t>Newsroom Digital Skills Training</t>
        </is>
      </c>
      <c r="B14" s="3" t="inlineStr">
        <is>
          <t>Toolkit launch email series</t>
        </is>
      </c>
      <c r="C14" s="12" t="n">
        <v>46143</v>
      </c>
      <c r="D14" s="10" t="inlineStr">
        <is>
          <t>clicks</t>
        </is>
      </c>
      <c r="E14" s="10" t="n">
        <v>620</v>
      </c>
    </row>
    <row r="15">
      <c r="A15" s="10" t="inlineStr">
        <is>
          <t>Newsroom Digital Skills Training</t>
        </is>
      </c>
      <c r="B15" s="3" t="inlineStr">
        <is>
          <t>Toolkit launch email series</t>
        </is>
      </c>
      <c r="C15" s="12" t="n">
        <v>46143</v>
      </c>
      <c r="D15" s="10" t="inlineStr">
        <is>
          <t>opens</t>
        </is>
      </c>
      <c r="E15" s="10" t="n">
        <v>3900</v>
      </c>
    </row>
    <row r="16">
      <c r="A16" s="10" t="inlineStr">
        <is>
          <t>Newsroom Digital Skills Training</t>
        </is>
      </c>
      <c r="B16" s="3" t="inlineStr">
        <is>
          <t>Toolkit launch email series</t>
        </is>
      </c>
      <c r="C16" s="12" t="n">
        <v>46143</v>
      </c>
      <c r="D16" s="10" t="inlineStr">
        <is>
          <t>sent</t>
        </is>
      </c>
      <c r="E16" s="10" t="n">
        <v>9200</v>
      </c>
    </row>
    <row r="17">
      <c r="A17" s="10" t="inlineStr">
        <is>
          <t>Newsroom Digital Skills Training</t>
        </is>
      </c>
      <c r="B17" s="3" t="inlineStr">
        <is>
          <t>Toolkit launch email series</t>
        </is>
      </c>
      <c r="C17" s="12" t="n">
        <v>46143</v>
      </c>
      <c r="D17" s="10" t="inlineStr">
        <is>
          <t>sign-ups</t>
        </is>
      </c>
      <c r="E17" s="10" t="n">
        <v>41</v>
      </c>
    </row>
    <row r="18">
      <c r="A18" s="10" t="inlineStr">
        <is>
          <t>Newsroom Digital Skills Training</t>
        </is>
      </c>
      <c r="B18" s="3" t="inlineStr">
        <is>
          <t>Newsroom Futures roadshow</t>
        </is>
      </c>
      <c r="C18" s="12" t="n">
        <v>46204</v>
      </c>
      <c r="D18" s="10" t="inlineStr">
        <is>
          <t>attendees</t>
        </is>
      </c>
      <c r="E18" s="10" t="n">
        <v>140</v>
      </c>
    </row>
    <row r="19">
      <c r="A19" s="10" t="inlineStr">
        <is>
          <t>Newsroom Digital Skills Training</t>
        </is>
      </c>
      <c r="B19" s="3" t="inlineStr">
        <is>
          <t>Newsroom Futures roadshow</t>
        </is>
      </c>
      <c r="C19" s="12" t="n">
        <v>46204</v>
      </c>
      <c r="D19" s="10" t="inlineStr">
        <is>
          <t>sign-ups</t>
        </is>
      </c>
      <c r="E19" s="10" t="n">
        <v>18</v>
      </c>
    </row>
    <row r="20">
      <c r="A20" s="10" t="inlineStr">
        <is>
          <t>Newsroom Digital Skills Training</t>
        </is>
      </c>
      <c r="B20" s="3" t="inlineStr">
        <is>
          <t>Newsroom Futures roadshow</t>
        </is>
      </c>
      <c r="C20" s="12" t="n">
        <v>46235</v>
      </c>
      <c r="D20" s="10" t="inlineStr">
        <is>
          <t>attendees</t>
        </is>
      </c>
      <c r="E20" s="10" t="n">
        <v>165</v>
      </c>
    </row>
    <row r="21">
      <c r="A21" s="10" t="inlineStr">
        <is>
          <t>Newsroom Digital Skills Training</t>
        </is>
      </c>
      <c r="B21" s="3" t="inlineStr">
        <is>
          <t>Newsroom Futures roadshow</t>
        </is>
      </c>
      <c r="C21" s="12" t="n">
        <v>46235</v>
      </c>
      <c r="D21" s="10" t="inlineStr">
        <is>
          <t>sign-ups</t>
        </is>
      </c>
      <c r="E21" s="10" t="n">
        <v>23</v>
      </c>
    </row>
    <row r="22">
      <c r="A22" s="10" t="inlineStr">
        <is>
          <t>Newsroom Champions (internal)</t>
        </is>
      </c>
      <c r="B22" s="3" t="inlineStr">
        <is>
          <t>Internal launch: town hall and newsletter</t>
        </is>
      </c>
      <c r="C22" s="12" t="n">
        <v>46113</v>
      </c>
      <c r="D22" s="10" t="inlineStr">
        <is>
          <t>attendees</t>
        </is>
      </c>
      <c r="E22" s="10" t="n">
        <v>620</v>
      </c>
    </row>
    <row r="23">
      <c r="A23" s="10" t="inlineStr">
        <is>
          <t>Newsroom Champions (internal)</t>
        </is>
      </c>
      <c r="B23" s="3" t="inlineStr">
        <is>
          <t>Internal launch: town hall and newsletter</t>
        </is>
      </c>
      <c r="C23" s="12" t="n">
        <v>46143</v>
      </c>
      <c r="D23" s="10" t="inlineStr">
        <is>
          <t>opens</t>
        </is>
      </c>
      <c r="E23" s="10" t="n">
        <v>4100</v>
      </c>
    </row>
    <row r="24">
      <c r="A24" s="10" t="inlineStr">
        <is>
          <t>Newsroom Champions (internal)</t>
        </is>
      </c>
      <c r="B24" s="3" t="inlineStr">
        <is>
          <t>Internal launch: town hall and newsletter</t>
        </is>
      </c>
      <c r="C24" s="12" t="n">
        <v>46143</v>
      </c>
      <c r="D24" s="10" t="inlineStr">
        <is>
          <t>sign-ups</t>
        </is>
      </c>
      <c r="E24" s="10" t="n">
        <v>85</v>
      </c>
    </row>
    <row r="25">
      <c r="A25" s="10" t="inlineStr">
        <is>
          <t>Newsroom Tools Partnership</t>
        </is>
      </c>
      <c r="B25" s="3" t="inlineStr">
        <is>
          <t>Tools launch webinar series</t>
        </is>
      </c>
      <c r="C25" s="12" t="n">
        <v>46174</v>
      </c>
      <c r="D25" s="10" t="inlineStr">
        <is>
          <t>attendees</t>
        </is>
      </c>
      <c r="E25" s="10" t="n">
        <v>210</v>
      </c>
    </row>
    <row r="26">
      <c r="A26" s="10" t="inlineStr">
        <is>
          <t>Newsroom Tools Partnership</t>
        </is>
      </c>
      <c r="B26" s="3" t="inlineStr">
        <is>
          <t>Tools launch webinar series</t>
        </is>
      </c>
      <c r="C26" s="12" t="n">
        <v>46174</v>
      </c>
      <c r="D26" s="10" t="inlineStr">
        <is>
          <t>sign-ups</t>
        </is>
      </c>
      <c r="E26" s="10" t="n">
        <v>28</v>
      </c>
    </row>
    <row r="27">
      <c r="A27" s="10" t="inlineStr">
        <is>
          <t>Newsroom Tools Partnership</t>
        </is>
      </c>
      <c r="B27" s="3" t="inlineStr">
        <is>
          <t>Tools launch webinar series</t>
        </is>
      </c>
      <c r="C27" s="12" t="n">
        <v>46204</v>
      </c>
      <c r="D27" s="10" t="inlineStr">
        <is>
          <t>attendees</t>
        </is>
      </c>
      <c r="E27" s="10" t="n">
        <v>180</v>
      </c>
    </row>
    <row r="28">
      <c r="A28" s="10" t="inlineStr">
        <is>
          <t>Newsroom Tools Partnership</t>
        </is>
      </c>
      <c r="B28" s="3" t="inlineStr">
        <is>
          <t>Tools launch webinar series</t>
        </is>
      </c>
      <c r="C28" s="12" t="n">
        <v>46204</v>
      </c>
      <c r="D28" s="10" t="inlineStr">
        <is>
          <t>sign-ups</t>
        </is>
      </c>
      <c r="E28" s="10" t="n">
        <v>22</v>
      </c>
    </row>
    <row r="29">
      <c r="A29" s="10" t="inlineStr">
        <is>
          <t>Global News Summit 2026</t>
        </is>
      </c>
      <c r="B29" s="3" t="inlineStr">
        <is>
          <t>Summit early-bird campaign</t>
        </is>
      </c>
      <c r="C29" s="12" t="n">
        <v>46204</v>
      </c>
      <c r="D29" s="10" t="inlineStr">
        <is>
          <t>impressions</t>
        </is>
      </c>
      <c r="E29" s="10" t="n">
        <v>48000</v>
      </c>
    </row>
    <row r="30">
      <c r="A30" s="10" t="inlineStr">
        <is>
          <t>Global News Summit 2026</t>
        </is>
      </c>
      <c r="B30" s="3" t="inlineStr">
        <is>
          <t>Summit early-bird campaign</t>
        </is>
      </c>
      <c r="C30" s="12" t="n">
        <v>46204</v>
      </c>
      <c r="D30" s="10" t="inlineStr">
        <is>
          <t>clicks</t>
        </is>
      </c>
      <c r="E30" s="10" t="n">
        <v>1100</v>
      </c>
    </row>
    <row r="31">
      <c r="A31" s="10" t="inlineStr">
        <is>
          <t>Global News Summit 2026</t>
        </is>
      </c>
      <c r="B31" s="3" t="inlineStr">
        <is>
          <t>Summit early-bird campaign</t>
        </is>
      </c>
      <c r="C31" s="12" t="n">
        <v>46204</v>
      </c>
      <c r="D31" s="10" t="inlineStr">
        <is>
          <t>sign-ups</t>
        </is>
      </c>
      <c r="E31" s="10" t="n">
        <v>50</v>
      </c>
    </row>
    <row r="32">
      <c r="A32" s="10" t="inlineStr">
        <is>
          <t>Global News Summit 2026</t>
        </is>
      </c>
      <c r="B32" s="3" t="inlineStr">
        <is>
          <t>Summit early-bird campaign</t>
        </is>
      </c>
      <c r="C32" s="12" t="n">
        <v>46235</v>
      </c>
      <c r="D32" s="10" t="inlineStr">
        <is>
          <t>impressions</t>
        </is>
      </c>
      <c r="E32" s="10" t="n">
        <v>62000</v>
      </c>
    </row>
    <row r="33">
      <c r="A33" s="10" t="inlineStr">
        <is>
          <t>Global News Summit 2026</t>
        </is>
      </c>
      <c r="B33" s="3" t="inlineStr">
        <is>
          <t>Summit early-bird campaign</t>
        </is>
      </c>
      <c r="C33" s="12" t="n">
        <v>46235</v>
      </c>
      <c r="D33" s="10" t="inlineStr">
        <is>
          <t>clicks</t>
        </is>
      </c>
      <c r="E33" s="10" t="n">
        <v>1500</v>
      </c>
    </row>
    <row r="34">
      <c r="A34" s="10" t="inlineStr">
        <is>
          <t>Global News Summit 2026</t>
        </is>
      </c>
      <c r="B34" s="3" t="inlineStr">
        <is>
          <t>Summit early-bird campaign</t>
        </is>
      </c>
      <c r="C34" s="12" t="n">
        <v>46235</v>
      </c>
      <c r="D34" s="10" t="inlineStr">
        <is>
          <t>sign-ups</t>
        </is>
      </c>
      <c r="E34" s="10" t="n">
        <v>60</v>
      </c>
    </row>
    <row r="35">
      <c r="A35" s="10" t="inlineStr">
        <is>
          <t>Global News Summit 2026</t>
        </is>
      </c>
      <c r="B35" s="3" t="inlineStr">
        <is>
          <t>Summit early-bird campaign</t>
        </is>
      </c>
      <c r="C35" s="12" t="n">
        <v>46266</v>
      </c>
      <c r="D35" s="10" t="inlineStr">
        <is>
          <t>impressions</t>
        </is>
      </c>
      <c r="E35" s="10" t="n">
        <v>55000</v>
      </c>
    </row>
    <row r="36">
      <c r="A36" s="10" t="inlineStr">
        <is>
          <t>Global News Summit 2026</t>
        </is>
      </c>
      <c r="B36" s="3" t="inlineStr">
        <is>
          <t>Summit early-bird campaign</t>
        </is>
      </c>
      <c r="C36" s="12" t="n">
        <v>46266</v>
      </c>
      <c r="D36" s="10" t="inlineStr">
        <is>
          <t>clicks</t>
        </is>
      </c>
      <c r="E36" s="10" t="n">
        <v>1300</v>
      </c>
    </row>
    <row r="37">
      <c r="A37" s="10" t="inlineStr">
        <is>
          <t>Global News Summit 2026</t>
        </is>
      </c>
      <c r="B37" s="3" t="inlineStr">
        <is>
          <t>Summit early-bird campaign</t>
        </is>
      </c>
      <c r="C37" s="12" t="n">
        <v>46266</v>
      </c>
      <c r="D37" s="10" t="inlineStr">
        <is>
          <t>sign-ups</t>
        </is>
      </c>
      <c r="E37" s="10" t="n">
        <v>45</v>
      </c>
    </row>
  </sheetData>
  <autoFilter ref="A1:E37"/>
  <dataValidations count="1">
    <dataValidation sqref="A2:A2000" showDropDown="0" showInputMessage="0" showErrorMessage="1" allowBlank="1" errorTitle="Choose from the list" error="Pick a value from the dropdown." type="list">
      <formula1>Initiatives!$A$2:$A$500</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11" customWidth="1" min="3" max="3"/>
    <col width="34" customWidth="1" min="4" max="4"/>
    <col width="60" customWidth="1" min="5" max="5"/>
    <col width="28" customWidth="1" min="6" max="6"/>
    <col width="30" customWidth="1" min="7" max="7"/>
    <col width="12" customWidth="1" min="8" max="8"/>
    <col width="20" customWidth="1" min="9" max="9"/>
    <col width="9" customWidth="1" min="10" max="10"/>
  </cols>
  <sheetData>
    <row r="1" ht="30" customHeight="1">
      <c r="A1" s="5" t="inlineStr">
        <is>
          <t>Initiative</t>
        </is>
      </c>
      <c r="B1" s="5" t="inlineStr">
        <is>
          <t>Metric</t>
        </is>
      </c>
      <c r="C1" s="5" t="inlineStr">
        <is>
          <t>Type</t>
        </is>
      </c>
      <c r="D1" s="5" t="inlineStr">
        <is>
          <t>Title</t>
        </is>
      </c>
      <c r="E1" s="5" t="inlineStr">
        <is>
          <t>Text</t>
        </is>
      </c>
      <c r="F1" s="5" t="inlineStr">
        <is>
          <t>Source</t>
        </is>
      </c>
      <c r="G1" s="5" t="inlineStr">
        <is>
          <t>Link</t>
        </is>
      </c>
      <c r="H1" s="5" t="inlineStr">
        <is>
          <t>Date</t>
        </is>
      </c>
      <c r="I1" s="5" t="inlineStr">
        <is>
          <t>Tags</t>
        </is>
      </c>
      <c r="J1" s="5" t="inlineStr">
        <is>
          <t>Origin</t>
        </is>
      </c>
    </row>
    <row r="2">
      <c r="A2" s="10" t="inlineStr">
        <is>
          <t>Newsroom Digital Skills Training</t>
        </is>
      </c>
      <c r="B2" s="10" t="inlineStr">
        <is>
          <t>Financially sustainable newsrooms</t>
        </is>
      </c>
      <c r="C2" s="10" t="inlineStr">
        <is>
          <t>quote</t>
        </is>
      </c>
      <c r="D2" s="10" t="inlineStr">
        <is>
          <t>Publisher on sustainability</t>
        </is>
      </c>
      <c r="E2" s="3" t="inlineStr">
        <is>
          <t>We're closer, but one big advertiser leaving would still put us back in the red. The grant bought us time to diversify.</t>
        </is>
      </c>
      <c r="F2" s="10" t="inlineStr">
        <is>
          <t>Publisher, Morecambe Bay News</t>
        </is>
      </c>
      <c r="G2" s="10" t="n"/>
      <c r="H2" s="12" t="n">
        <v>46280</v>
      </c>
      <c r="I2" s="10" t="inlineStr">
        <is>
          <t>sustainability,risk</t>
        </is>
      </c>
      <c r="J2" s="10" t="inlineStr">
        <is>
          <t>human</t>
        </is>
      </c>
    </row>
    <row r="3">
      <c r="A3" s="10" t="inlineStr">
        <is>
          <t>Newsroom Digital Skills Training</t>
        </is>
      </c>
      <c r="B3" s="10" t="inlineStr">
        <is>
          <t>Newsrooms with a new revenue stream</t>
        </is>
      </c>
      <c r="C3" s="10" t="inlineStr">
        <is>
          <t>survey</t>
        </is>
      </c>
      <c r="D3" s="10" t="inlineStr">
        <is>
          <t>Theme: memberships are the most common new revenue stream</t>
        </is>
      </c>
      <c r="E3" s="3" t="inlineStr">
        <is>
          <t>Across 38 check-in responses, memberships (14) and local events (9) were the most-cited new revenue streams. Sentiment is mostly positive, with concern about sustaining member numbers after launch.</t>
        </is>
      </c>
      <c r="F3" s="10" t="inlineStr">
        <is>
          <t>AI theme coding of monthly check-in forms</t>
        </is>
      </c>
      <c r="G3" s="10" t="n"/>
      <c r="H3" s="12" t="n">
        <v>46277</v>
      </c>
      <c r="I3" s="10" t="inlineStr">
        <is>
          <t>revenue,theme</t>
        </is>
      </c>
      <c r="J3" s="10" t="inlineStr">
        <is>
          <t>ai</t>
        </is>
      </c>
    </row>
    <row r="4">
      <c r="A4" s="10" t="inlineStr">
        <is>
          <t>Newsroom Digital Skills Training</t>
        </is>
      </c>
      <c r="B4" s="10" t="inlineStr">
        <is>
          <t>Trainees applying new skills</t>
        </is>
      </c>
      <c r="C4" s="10" t="inlineStr">
        <is>
          <t>survey</t>
        </is>
      </c>
      <c r="D4" s="10" t="inlineStr">
        <is>
          <t>Follow-up survey, cohort 1-3 (n=112)</t>
        </is>
      </c>
      <c r="E4" s="3" t="inlineStr">
        <is>
          <t>64% say they used a technique from training in the last month. Most cited: headline testing (41%), newsletter segmentation (29%), audience surveys (18%).</t>
        </is>
      </c>
      <c r="F4" s="10" t="inlineStr">
        <is>
          <t>Follow-up survey, September</t>
        </is>
      </c>
      <c r="G4" s="10" t="n"/>
      <c r="H4" s="12" t="n">
        <v>46275</v>
      </c>
      <c r="I4" s="10" t="inlineStr">
        <is>
          <t>skills,survey</t>
        </is>
      </c>
      <c r="J4" s="10" t="inlineStr">
        <is>
          <t>human</t>
        </is>
      </c>
    </row>
    <row r="5">
      <c r="A5" s="10" t="inlineStr">
        <is>
          <t>Newsroom Digital Skills Training</t>
        </is>
      </c>
      <c r="B5" s="10" t="inlineStr">
        <is>
          <t>Reader trust score</t>
        </is>
      </c>
      <c r="C5" s="10" t="inlineStr">
        <is>
          <t>quote</t>
        </is>
      </c>
      <c r="D5" s="10" t="inlineStr">
        <is>
          <t>Reader survey comment</t>
        </is>
      </c>
      <c r="E5" s="3" t="inlineStr">
        <is>
          <t>They actually come to the meetings now and explain what the decisions mean for us. That's why I read them.</t>
        </is>
      </c>
      <c r="F5" s="10" t="inlineStr">
        <is>
          <t>Reader, Hebden Bridge</t>
        </is>
      </c>
      <c r="G5" s="10" t="n"/>
      <c r="H5" s="12" t="n">
        <v>46267</v>
      </c>
      <c r="I5" s="10" t="inlineStr">
        <is>
          <t>trust,readers</t>
        </is>
      </c>
      <c r="J5" s="10" t="inlineStr">
        <is>
          <t>human</t>
        </is>
      </c>
    </row>
    <row r="6">
      <c r="A6" s="10" t="inlineStr">
        <is>
          <t>Newsroom Digital Skills Training</t>
        </is>
      </c>
      <c r="B6" s="10" t="inlineStr">
        <is>
          <t>Newsrooms with a new revenue stream</t>
        </is>
      </c>
      <c r="C6" s="10" t="inlineStr">
        <is>
          <t>case-study</t>
        </is>
      </c>
      <c r="D6" s="10" t="inlineStr">
        <is>
          <t>Tyneside Tribune launches a membership scheme</t>
        </is>
      </c>
      <c r="E6" s="3" t="inlineStr">
        <is>
          <t>After the revenue cohort, the Tribune launched a $5/month membership with a members-only newsletter. 310 members joined in the first six weeks, covering one part-time reporter.</t>
        </is>
      </c>
      <c r="F6" s="10" t="inlineStr">
        <is>
          <t>Programme case study</t>
        </is>
      </c>
      <c r="G6" s="10" t="n"/>
      <c r="H6" s="12" t="n">
        <v>46239</v>
      </c>
      <c r="I6" s="10" t="inlineStr">
        <is>
          <t>revenue,membership</t>
        </is>
      </c>
      <c r="J6" s="10" t="inlineStr">
        <is>
          <t>human</t>
        </is>
      </c>
    </row>
    <row r="7">
      <c r="A7" s="10" t="inlineStr">
        <is>
          <t>Newsroom Digital Skills Training</t>
        </is>
      </c>
      <c r="B7" s="10" t="n"/>
      <c r="C7" s="10" t="inlineStr">
        <is>
          <t>link</t>
        </is>
      </c>
      <c r="D7" s="10" t="inlineStr">
        <is>
          <t>Regional press coverage of the roadshow</t>
        </is>
      </c>
      <c r="E7" s="3" t="inlineStr">
        <is>
          <t>Article on the Newsroom Futures roadshow and the programme's aims.</t>
        </is>
      </c>
      <c r="F7" s="10" t="inlineStr">
        <is>
          <t>Regional business press</t>
        </is>
      </c>
      <c r="G7" s="10" t="inlineStr">
        <is>
          <t>https://example.org/press/newsroom-futures</t>
        </is>
      </c>
      <c r="H7" s="12" t="n">
        <v>46225</v>
      </c>
      <c r="I7" s="10" t="inlineStr">
        <is>
          <t>press</t>
        </is>
      </c>
      <c r="J7" s="10" t="inlineStr">
        <is>
          <t>human</t>
        </is>
      </c>
    </row>
    <row r="8">
      <c r="A8" s="10" t="inlineStr">
        <is>
          <t>Newsroom Digital Skills Training</t>
        </is>
      </c>
      <c r="B8" s="10" t="inlineStr">
        <is>
          <t>Trainees applying new skills</t>
        </is>
      </c>
      <c r="C8" s="10" t="inlineStr">
        <is>
          <t>quote</t>
        </is>
      </c>
      <c r="D8" s="10" t="inlineStr">
        <is>
          <t>Trainee on newsletter skills</t>
        </is>
      </c>
      <c r="E8" s="3" t="inlineStr">
        <is>
          <t>I rebuilt our newsletter the week after the session. Open rates went from 22% to 38%.</t>
        </is>
      </c>
      <c r="F8" s="10" t="inlineStr">
        <is>
          <t>Reporter, Wharfedale Weekly</t>
        </is>
      </c>
      <c r="G8" s="10" t="n"/>
      <c r="H8" s="12" t="n">
        <v>46203</v>
      </c>
      <c r="I8" s="10" t="inlineStr">
        <is>
          <t>skills,newsletter</t>
        </is>
      </c>
      <c r="J8" s="10" t="inlineStr">
        <is>
          <t>human</t>
        </is>
      </c>
    </row>
    <row r="9">
      <c r="A9" s="10" t="inlineStr">
        <is>
          <t>Newsroom Digital Skills Training</t>
        </is>
      </c>
      <c r="B9" s="10" t="inlineStr">
        <is>
          <t>Average monthly digital audience per newsroom</t>
        </is>
      </c>
      <c r="C9" s="10" t="inlineStr">
        <is>
          <t>quote</t>
        </is>
      </c>
      <c r="D9" s="10" t="inlineStr">
        <is>
          <t>Editor on the analytics dashboard</t>
        </is>
      </c>
      <c r="E9" s="3" t="inlineStr">
        <is>
          <t>For the first time we can see which stories people actually finish. We've moved our council coverage to the morning slot and it's our most-read section now.</t>
        </is>
      </c>
      <c r="F9" s="10" t="inlineStr">
        <is>
          <t>Editor, Calder Valley Voice</t>
        </is>
      </c>
      <c r="G9" s="10" t="n"/>
      <c r="H9" s="12" t="n">
        <v>46191</v>
      </c>
      <c r="I9" s="10" t="inlineStr">
        <is>
          <t>analytics,audience</t>
        </is>
      </c>
      <c r="J9" s="10" t="inlineStr">
        <is>
          <t>human</t>
        </is>
      </c>
    </row>
    <row r="10">
      <c r="A10" s="10" t="inlineStr">
        <is>
          <t>Newsroom Champions (internal)</t>
        </is>
      </c>
      <c r="B10" s="10" t="inlineStr">
        <is>
          <t>Colleagues confident explaining the programme</t>
        </is>
      </c>
      <c r="C10" s="10" t="inlineStr">
        <is>
          <t>quote</t>
        </is>
      </c>
      <c r="D10" s="10" t="inlineStr">
        <is>
          <t>Policy colleague on the champions session</t>
        </is>
      </c>
      <c r="E10" s="3" t="inlineStr">
        <is>
          <t>I used the local newsroom examples in a meeting with a ministry team the following week. Having real numbers made the conversation much easier.</t>
        </is>
      </c>
      <c r="F10" s="10" t="inlineStr">
        <is>
          <t>Champion, Government Affairs &amp; Public Policy</t>
        </is>
      </c>
      <c r="G10" s="10" t="n"/>
      <c r="H10" s="12" t="n">
        <v>46273</v>
      </c>
      <c r="I10" s="10" t="inlineStr">
        <is>
          <t>gapp,champions</t>
        </is>
      </c>
      <c r="J10" s="10" t="inlineStr">
        <is>
          <t>human</t>
        </is>
      </c>
    </row>
    <row r="11">
      <c r="A11" s="10" t="inlineStr">
        <is>
          <t>Newsroom Tools Partnership</t>
        </is>
      </c>
      <c r="B11" s="10" t="inlineStr">
        <is>
          <t>Minutes saved per story</t>
        </is>
      </c>
      <c r="C11" s="10" t="inlineStr">
        <is>
          <t>quote</t>
        </is>
      </c>
      <c r="D11" s="10" t="inlineStr">
        <is>
          <t>Reporter on automated transcription</t>
        </is>
      </c>
      <c r="E11" s="3" t="inlineStr">
        <is>
          <t>Transcribing a council meeting used to take me an evening. Now I have a draft in twenty minutes and spend the time chasing the story.</t>
        </is>
      </c>
      <c r="F11" s="10" t="inlineStr">
        <is>
          <t>Reporter, Coastal Courier</t>
        </is>
      </c>
      <c r="G11" s="10" t="n"/>
      <c r="H11" s="12" t="n">
        <v>46213</v>
      </c>
      <c r="I11" s="10" t="inlineStr">
        <is>
          <t>tools,time-saved</t>
        </is>
      </c>
      <c r="J11" s="10" t="inlineStr">
        <is>
          <t>human</t>
        </is>
      </c>
    </row>
    <row r="12">
      <c r="A12" s="10" t="inlineStr">
        <is>
          <t>Newsroom Tools Partnership</t>
        </is>
      </c>
      <c r="B12" s="10" t="inlineStr">
        <is>
          <t>Partner satisfaction (NPS)</t>
        </is>
      </c>
      <c r="C12" s="10" t="inlineStr">
        <is>
          <t>survey</t>
        </is>
      </c>
      <c r="D12" s="10" t="inlineStr">
        <is>
          <t>Q3 user survey (n=146)</t>
        </is>
      </c>
      <c r="E12" s="3" t="inlineStr">
        <is>
          <t>NPS rose from 26 to 31. Most common complaint: the analytics tool's setup takes too long without support.</t>
        </is>
      </c>
      <c r="F12" s="10" t="inlineStr">
        <is>
          <t>User survey, September</t>
        </is>
      </c>
      <c r="G12" s="10" t="n"/>
      <c r="H12" s="12" t="n">
        <v>46270</v>
      </c>
      <c r="I12" s="10" t="inlineStr">
        <is>
          <t>survey,nps</t>
        </is>
      </c>
      <c r="J12" s="10" t="inlineStr">
        <is>
          <t>human</t>
        </is>
      </c>
    </row>
    <row r="13">
      <c r="A13" s="10" t="inlineStr">
        <is>
          <t>Local News Audience Study</t>
        </is>
      </c>
      <c r="B13" s="10" t="inlineStr">
        <is>
          <t>Citations in policy papers and press</t>
        </is>
      </c>
      <c r="C13" s="10" t="inlineStr">
        <is>
          <t>link</t>
        </is>
      </c>
      <c r="D13" s="10" t="inlineStr">
        <is>
          <t>Study cited in national press</t>
        </is>
      </c>
      <c r="E13" s="3" t="inlineStr">
        <is>
          <t>Coverage of brief 2 (who pays for local news) in a national newspaper's media section.</t>
        </is>
      </c>
      <c r="F13" s="10" t="inlineStr">
        <is>
          <t>National press</t>
        </is>
      </c>
      <c r="G13" s="10" t="inlineStr">
        <is>
          <t>https://example.org/press/local-news-study</t>
        </is>
      </c>
      <c r="H13" s="12" t="n">
        <v>46254</v>
      </c>
      <c r="I13" s="10" t="inlineStr">
        <is>
          <t>press,citation</t>
        </is>
      </c>
      <c r="J13" s="10" t="inlineStr">
        <is>
          <t>human</t>
        </is>
      </c>
    </row>
    <row r="14">
      <c r="A14" s="10" t="inlineStr">
        <is>
          <t>Local News Audience Study</t>
        </is>
      </c>
      <c r="B14" s="10" t="inlineStr">
        <is>
          <t>Survey responses collected</t>
        </is>
      </c>
      <c r="C14" s="10" t="inlineStr">
        <is>
          <t>survey</t>
        </is>
      </c>
      <c r="D14" s="10" t="inlineStr">
        <is>
          <t>Headline finding from brief 2</t>
        </is>
      </c>
      <c r="E14" s="3" t="inlineStr">
        <is>
          <t>62% of local news readers would pay something for local news, but only 14% currently do. Price sensitivity is highest under 35.</t>
        </is>
      </c>
      <c r="F14" s="10" t="inlineStr">
        <is>
          <t>Local News Audience Study, brief 2</t>
        </is>
      </c>
      <c r="G14" s="10" t="n"/>
      <c r="H14" s="12" t="n">
        <v>46233</v>
      </c>
      <c r="I14" s="10" t="inlineStr">
        <is>
          <t>survey,revenue</t>
        </is>
      </c>
      <c r="J14" s="10" t="inlineStr">
        <is>
          <t>human</t>
        </is>
      </c>
    </row>
    <row r="15">
      <c r="A15" s="10" t="inlineStr">
        <is>
          <t>Global News Summit 2026</t>
        </is>
      </c>
      <c r="B15" s="10" t="inlineStr">
        <is>
          <t>Partnerships started after events</t>
        </is>
      </c>
      <c r="C15" s="10" t="inlineStr">
        <is>
          <t>case-study</t>
        </is>
      </c>
      <c r="D15" s="10" t="inlineStr">
        <is>
          <t>Two newsrooms share a data reporter</t>
        </is>
      </c>
      <c r="E15" s="3" t="inlineStr">
        <is>
          <t>After meeting at the July roadshow, two county newsrooms now share a data reporter and co-publish investigations.</t>
        </is>
      </c>
      <c r="F15" s="10" t="inlineStr">
        <is>
          <t>Programme case study</t>
        </is>
      </c>
      <c r="G15" s="10" t="n"/>
      <c r="H15" s="12" t="n">
        <v>46277</v>
      </c>
      <c r="I15" s="10" t="inlineStr">
        <is>
          <t>partnerships,events</t>
        </is>
      </c>
      <c r="J15" s="10" t="inlineStr">
        <is>
          <t>human</t>
        </is>
      </c>
    </row>
    <row r="16">
      <c r="A16" s="10" t="inlineStr">
        <is>
          <t>Lunch &amp; Learn series (internal)</t>
        </is>
      </c>
      <c r="B16" s="10" t="inlineStr">
        <is>
          <t>Attendees who understand the programme better</t>
        </is>
      </c>
      <c r="C16" s="10" t="inlineStr">
        <is>
          <t>quote</t>
        </is>
      </c>
      <c r="D16" s="10" t="inlineStr">
        <is>
          <t>Sales colleague after a session</t>
        </is>
      </c>
      <c r="E16" s="3" t="inlineStr">
        <is>
          <t>I finally get what the programme does. I've already used the Tyneside membership story with a client.</t>
        </is>
      </c>
      <c r="F16" s="10" t="inlineStr">
        <is>
          <t>Attendee, Advertising sales</t>
        </is>
      </c>
      <c r="G16" s="10" t="n"/>
      <c r="H16" s="12" t="n">
        <v>46248</v>
      </c>
      <c r="I16" s="10" t="inlineStr">
        <is>
          <t>internal,comms</t>
        </is>
      </c>
      <c r="J16" s="10" t="inlineStr">
        <is>
          <t>human</t>
        </is>
      </c>
    </row>
    <row r="17">
      <c r="A17" s="10" t="inlineStr">
        <is>
          <t>Policy Engagement on Local News</t>
        </is>
      </c>
      <c r="B17" s="10" t="inlineStr">
        <is>
          <t>Follow-up requests from officials</t>
        </is>
      </c>
      <c r="C17" s="10" t="inlineStr">
        <is>
          <t>quote</t>
        </is>
      </c>
      <c r="D17" s="10" t="inlineStr">
        <is>
          <t>Adviser in a ministry team</t>
        </is>
      </c>
      <c r="E17" s="3" t="inlineStr">
        <is>
          <t>The newsroom case studies were exactly what we needed. Could you send the survey figures by region?</t>
        </is>
      </c>
      <c r="F17" s="10" t="inlineStr">
        <is>
          <t>Policy adviser, national government</t>
        </is>
      </c>
      <c r="G17" s="10" t="n"/>
      <c r="H17" s="12" t="n">
        <v>46262</v>
      </c>
      <c r="I17" s="10" t="inlineStr">
        <is>
          <t>gapp,policy</t>
        </is>
      </c>
      <c r="J17" s="10" t="inlineStr">
        <is>
          <t>human</t>
        </is>
      </c>
    </row>
    <row r="18">
      <c r="A18" s="10" t="inlineStr">
        <is>
          <t>Policy Engagement on Local News</t>
        </is>
      </c>
      <c r="B18" s="10" t="inlineStr">
        <is>
          <t>Programme evidence cited in policy documents</t>
        </is>
      </c>
      <c r="C18" s="10" t="inlineStr">
        <is>
          <t>link</t>
        </is>
      </c>
      <c r="D18" s="10" t="inlineStr">
        <is>
          <t>Consultation response on local media</t>
        </is>
      </c>
      <c r="E18" s="3" t="inlineStr">
        <is>
          <t>Our written response to the local media consultation, drawing on the audience study and training results.</t>
        </is>
      </c>
      <c r="F18" s="10" t="inlineStr">
        <is>
          <t>GAPP</t>
        </is>
      </c>
      <c r="G18" s="10" t="inlineStr">
        <is>
          <t>https://example.org/policy/consultation-response</t>
        </is>
      </c>
      <c r="H18" s="12" t="n">
        <v>46283</v>
      </c>
      <c r="I18" s="10" t="inlineStr">
        <is>
          <t>gapp,submission</t>
        </is>
      </c>
      <c r="J18" s="10" t="inlineStr">
        <is>
          <t>human</t>
        </is>
      </c>
    </row>
  </sheetData>
  <autoFilter ref="A1:J18"/>
  <dataValidations count="3">
    <dataValidation sqref="A2:A2000" showDropDown="0" showInputMessage="0" showErrorMessage="1" allowBlank="1" errorTitle="Choose from the list" error="Pick a value from the dropdown." type="list">
      <formula1>Initiatives!$A$2:$A$500</formula1>
    </dataValidation>
    <dataValidation sqref="C2:C2000" showDropDown="0" showInputMessage="0" showErrorMessage="1" allowBlank="1" errorTitle="Choose from the list" error="Pick a value from the dropdown." type="list">
      <formula1>"quote,survey,case-study,link"</formula1>
    </dataValidation>
    <dataValidation sqref="J2:J2000" showDropDown="0" showInputMessage="0" showErrorMessage="1" allowBlank="1" errorTitle="Choose from the list" error="Pick a value from the dropdown." type="list">
      <formula1>"human,ai"</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H500"/>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1" customWidth="1" min="3" max="3"/>
    <col width="11" customWidth="1" min="4" max="4"/>
    <col width="11" customWidth="1" min="5" max="5"/>
    <col width="40" customWidth="1" min="6" max="6"/>
    <col width="14" customWidth="1" min="7" max="7"/>
    <col width="30" customWidth="1" min="8" max="8"/>
  </cols>
  <sheetData>
    <row r="1" ht="30" customHeight="1">
      <c r="A1" s="5" t="inlineStr">
        <is>
          <t>Initiative</t>
        </is>
      </c>
      <c r="B1" s="5" t="inlineStr">
        <is>
          <t>Date</t>
        </is>
      </c>
      <c r="C1" s="5" t="inlineStr">
        <is>
          <t>Amount</t>
        </is>
      </c>
      <c r="D1" s="5" t="inlineStr">
        <is>
          <t>Category</t>
        </is>
      </c>
      <c r="E1" s="5" t="inlineStr">
        <is>
          <t>Status</t>
        </is>
      </c>
      <c r="F1" s="5" t="inlineStr">
        <is>
          <t>Description</t>
        </is>
      </c>
      <c r="G1" s="5" t="inlineStr">
        <is>
          <t>Reference</t>
        </is>
      </c>
      <c r="H1" s="13" t="inlineStr">
        <is>
          <t>Focus area (calculated)</t>
        </is>
      </c>
    </row>
    <row r="2">
      <c r="A2" s="10" t="inlineStr">
        <is>
          <t>Newsroom Digital Skills Training</t>
        </is>
      </c>
      <c r="B2" s="12" t="n">
        <v>46109</v>
      </c>
      <c r="C2" s="11" t="n">
        <v>5000</v>
      </c>
      <c r="D2" s="10" t="inlineStr">
        <is>
          <t>staff</t>
        </is>
      </c>
      <c r="E2" s="10" t="inlineStr">
        <is>
          <t>actual</t>
        </is>
      </c>
      <c r="F2" s="3" t="inlineStr">
        <is>
          <t>Programme staff and trainers</t>
        </is>
      </c>
      <c r="G2" s="10" t="inlineStr">
        <is>
          <t>PAY-03</t>
        </is>
      </c>
      <c r="H2" s="14">
        <f>IFERROR(INDEX(Initiatives!$B$2:$B$500,MATCH(A2,Initiatives!$A$2:$A$500,0)),"")</f>
        <v/>
      </c>
    </row>
    <row r="3">
      <c r="A3" s="10" t="inlineStr">
        <is>
          <t>Newsroom Champions (internal)</t>
        </is>
      </c>
      <c r="B3" s="12" t="n">
        <v>46109</v>
      </c>
      <c r="C3" s="11" t="n">
        <v>1200</v>
      </c>
      <c r="D3" s="10" t="inlineStr">
        <is>
          <t>staff</t>
        </is>
      </c>
      <c r="E3" s="10" t="inlineStr">
        <is>
          <t>actual</t>
        </is>
      </c>
      <c r="F3" s="3" t="inlineStr">
        <is>
          <t>Session facilitation</t>
        </is>
      </c>
      <c r="G3" s="10" t="n"/>
      <c r="H3" s="14">
        <f>IFERROR(INDEX(Initiatives!$B$2:$B$500,MATCH(A3,Initiatives!$A$2:$A$500,0)),"")</f>
        <v/>
      </c>
    </row>
    <row r="4">
      <c r="A4" s="10" t="inlineStr">
        <is>
          <t>Newsroom Digital Skills Training</t>
        </is>
      </c>
      <c r="B4" s="12" t="n">
        <v>46127</v>
      </c>
      <c r="C4" s="11" t="n">
        <v>12000</v>
      </c>
      <c r="D4" s="10" t="inlineStr">
        <is>
          <t>vendors</t>
        </is>
      </c>
      <c r="E4" s="10" t="inlineStr">
        <is>
          <t>actual</t>
        </is>
      </c>
      <c r="F4" s="3" t="inlineStr">
        <is>
          <t>Analytics and CMS toolkit licence (annual)</t>
        </is>
      </c>
      <c r="G4" s="10" t="inlineStr">
        <is>
          <t>PO-4102</t>
        </is>
      </c>
      <c r="H4" s="14">
        <f>IFERROR(INDEX(Initiatives!$B$2:$B$500,MATCH(A4,Initiatives!$A$2:$A$500,0)),"")</f>
        <v/>
      </c>
    </row>
    <row r="5">
      <c r="A5" s="10" t="inlineStr">
        <is>
          <t>Newsroom Digital Skills Training</t>
        </is>
      </c>
      <c r="B5" s="12" t="n">
        <v>46140</v>
      </c>
      <c r="C5" s="11" t="n">
        <v>5000</v>
      </c>
      <c r="D5" s="10" t="inlineStr">
        <is>
          <t>staff</t>
        </is>
      </c>
      <c r="E5" s="10" t="inlineStr">
        <is>
          <t>actual</t>
        </is>
      </c>
      <c r="F5" s="3" t="inlineStr">
        <is>
          <t>Programme staff and trainers</t>
        </is>
      </c>
      <c r="G5" s="10" t="inlineStr">
        <is>
          <t>PAY-04</t>
        </is>
      </c>
      <c r="H5" s="14">
        <f>IFERROR(INDEX(Initiatives!$B$2:$B$500,MATCH(A5,Initiatives!$A$2:$A$500,0)),"")</f>
        <v/>
      </c>
    </row>
    <row r="6">
      <c r="A6" s="10" t="inlineStr">
        <is>
          <t>Newsroom Champions (internal)</t>
        </is>
      </c>
      <c r="B6" s="12" t="n">
        <v>46140</v>
      </c>
      <c r="C6" s="11" t="n">
        <v>1200</v>
      </c>
      <c r="D6" s="10" t="inlineStr">
        <is>
          <t>staff</t>
        </is>
      </c>
      <c r="E6" s="10" t="inlineStr">
        <is>
          <t>actual</t>
        </is>
      </c>
      <c r="F6" s="3" t="inlineStr">
        <is>
          <t>Session facilitation</t>
        </is>
      </c>
      <c r="G6" s="10" t="n"/>
      <c r="H6" s="14">
        <f>IFERROR(INDEX(Initiatives!$B$2:$B$500,MATCH(A6,Initiatives!$A$2:$A$500,0)),"")</f>
        <v/>
      </c>
    </row>
    <row r="7">
      <c r="A7" s="10" t="inlineStr">
        <is>
          <t>Newsroom Digital Skills Training</t>
        </is>
      </c>
      <c r="B7" s="12" t="n">
        <v>46140</v>
      </c>
      <c r="C7" s="11" t="n">
        <v>8000</v>
      </c>
      <c r="D7" s="10" t="inlineStr">
        <is>
          <t>grants</t>
        </is>
      </c>
      <c r="E7" s="10" t="inlineStr">
        <is>
          <t>actual</t>
        </is>
      </c>
      <c r="F7" s="3" t="inlineStr">
        <is>
          <t>Newsroom training grants</t>
        </is>
      </c>
      <c r="G7" s="10" t="inlineStr">
        <is>
          <t>GR-04</t>
        </is>
      </c>
      <c r="H7" s="14">
        <f>IFERROR(INDEX(Initiatives!$B$2:$B$500,MATCH(A7,Initiatives!$A$2:$A$500,0)),"")</f>
        <v/>
      </c>
    </row>
    <row r="8">
      <c r="A8" s="10" t="inlineStr">
        <is>
          <t>Newsroom Champions (internal)</t>
        </is>
      </c>
      <c r="B8" s="12" t="n">
        <v>46142</v>
      </c>
      <c r="C8" s="11" t="n">
        <v>2100</v>
      </c>
      <c r="D8" s="10" t="inlineStr">
        <is>
          <t>events</t>
        </is>
      </c>
      <c r="E8" s="10" t="inlineStr">
        <is>
          <t>actual</t>
        </is>
      </c>
      <c r="F8" s="3" t="inlineStr">
        <is>
          <t>Internal launch town hall</t>
        </is>
      </c>
      <c r="G8" s="10" t="n"/>
      <c r="H8" s="14">
        <f>IFERROR(INDEX(Initiatives!$B$2:$B$500,MATCH(A8,Initiatives!$A$2:$A$500,0)),"")</f>
        <v/>
      </c>
    </row>
    <row r="9">
      <c r="A9" s="10" t="inlineStr">
        <is>
          <t>Newsroom Digital Skills Training</t>
        </is>
      </c>
      <c r="B9" s="12" t="n">
        <v>46170</v>
      </c>
      <c r="C9" s="11" t="n">
        <v>5000</v>
      </c>
      <c r="D9" s="10" t="inlineStr">
        <is>
          <t>staff</t>
        </is>
      </c>
      <c r="E9" s="10" t="inlineStr">
        <is>
          <t>actual</t>
        </is>
      </c>
      <c r="F9" s="3" t="inlineStr">
        <is>
          <t>Programme staff and trainers</t>
        </is>
      </c>
      <c r="G9" s="10" t="inlineStr">
        <is>
          <t>PAY-05</t>
        </is>
      </c>
      <c r="H9" s="14">
        <f>IFERROR(INDEX(Initiatives!$B$2:$B$500,MATCH(A9,Initiatives!$A$2:$A$500,0)),"")</f>
        <v/>
      </c>
    </row>
    <row r="10">
      <c r="A10" s="10" t="inlineStr">
        <is>
          <t>Newsroom Champions (internal)</t>
        </is>
      </c>
      <c r="B10" s="12" t="n">
        <v>46170</v>
      </c>
      <c r="C10" s="11" t="n">
        <v>1200</v>
      </c>
      <c r="D10" s="10" t="inlineStr">
        <is>
          <t>staff</t>
        </is>
      </c>
      <c r="E10" s="10" t="inlineStr">
        <is>
          <t>actual</t>
        </is>
      </c>
      <c r="F10" s="3" t="inlineStr">
        <is>
          <t>Session facilitation</t>
        </is>
      </c>
      <c r="G10" s="10" t="n"/>
      <c r="H10" s="14">
        <f>IFERROR(INDEX(Initiatives!$B$2:$B$500,MATCH(A10,Initiatives!$A$2:$A$500,0)),"")</f>
        <v/>
      </c>
    </row>
    <row r="11">
      <c r="A11" s="10" t="inlineStr">
        <is>
          <t>Newsroom Digital Skills Training</t>
        </is>
      </c>
      <c r="B11" s="12" t="n">
        <v>46170</v>
      </c>
      <c r="C11" s="11" t="n">
        <v>6800</v>
      </c>
      <c r="D11" s="10" t="inlineStr">
        <is>
          <t>grants</t>
        </is>
      </c>
      <c r="E11" s="10" t="inlineStr">
        <is>
          <t>actual</t>
        </is>
      </c>
      <c r="F11" s="3" t="inlineStr">
        <is>
          <t>Newsroom training grants</t>
        </is>
      </c>
      <c r="G11" s="10" t="inlineStr">
        <is>
          <t>GR-05</t>
        </is>
      </c>
      <c r="H11" s="14">
        <f>IFERROR(INDEX(Initiatives!$B$2:$B$500,MATCH(A11,Initiatives!$A$2:$A$500,0)),"")</f>
        <v/>
      </c>
    </row>
    <row r="12">
      <c r="A12" s="10" t="inlineStr">
        <is>
          <t>Newsroom Digital Skills Training</t>
        </is>
      </c>
      <c r="B12" s="12" t="n">
        <v>46173</v>
      </c>
      <c r="C12" s="11" t="n">
        <v>800</v>
      </c>
      <c r="D12" s="10" t="inlineStr">
        <is>
          <t>marketing</t>
        </is>
      </c>
      <c r="E12" s="10" t="inlineStr">
        <is>
          <t>actual</t>
        </is>
      </c>
      <c r="F12" s="3" t="inlineStr">
        <is>
          <t>Toolkit launch email series</t>
        </is>
      </c>
      <c r="G12" s="10" t="n"/>
      <c r="H12" s="14">
        <f>IFERROR(INDEX(Initiatives!$B$2:$B$500,MATCH(A12,Initiatives!$A$2:$A$500,0)),"")</f>
        <v/>
      </c>
    </row>
    <row r="13">
      <c r="A13" s="10" t="inlineStr">
        <is>
          <t>Newsroom Digital Skills Training</t>
        </is>
      </c>
      <c r="B13" s="12" t="n">
        <v>46188</v>
      </c>
      <c r="C13" s="11" t="n">
        <v>3000</v>
      </c>
      <c r="D13" s="10" t="inlineStr">
        <is>
          <t>travel</t>
        </is>
      </c>
      <c r="E13" s="10" t="inlineStr">
        <is>
          <t>actual</t>
        </is>
      </c>
      <c r="F13" s="3" t="inlineStr">
        <is>
          <t>Trainer travel, cohorts 1-3</t>
        </is>
      </c>
      <c r="G13" s="10" t="n"/>
      <c r="H13" s="14">
        <f>IFERROR(INDEX(Initiatives!$B$2:$B$500,MATCH(A13,Initiatives!$A$2:$A$500,0)),"")</f>
        <v/>
      </c>
    </row>
    <row r="14">
      <c r="A14" s="10" t="inlineStr">
        <is>
          <t>Newsroom Digital Skills Training</t>
        </is>
      </c>
      <c r="B14" s="12" t="n">
        <v>46201</v>
      </c>
      <c r="C14" s="11" t="n">
        <v>5000</v>
      </c>
      <c r="D14" s="10" t="inlineStr">
        <is>
          <t>staff</t>
        </is>
      </c>
      <c r="E14" s="10" t="inlineStr">
        <is>
          <t>actual</t>
        </is>
      </c>
      <c r="F14" s="3" t="inlineStr">
        <is>
          <t>Programme staff and trainers</t>
        </is>
      </c>
      <c r="G14" s="10" t="inlineStr">
        <is>
          <t>PAY-06</t>
        </is>
      </c>
      <c r="H14" s="14">
        <f>IFERROR(INDEX(Initiatives!$B$2:$B$500,MATCH(A14,Initiatives!$A$2:$A$500,0)),"")</f>
        <v/>
      </c>
    </row>
    <row r="15">
      <c r="A15" s="10" t="inlineStr">
        <is>
          <t>Newsroom Champions (internal)</t>
        </is>
      </c>
      <c r="B15" s="12" t="n">
        <v>46201</v>
      </c>
      <c r="C15" s="11" t="n">
        <v>1200</v>
      </c>
      <c r="D15" s="10" t="inlineStr">
        <is>
          <t>staff</t>
        </is>
      </c>
      <c r="E15" s="10" t="inlineStr">
        <is>
          <t>actual</t>
        </is>
      </c>
      <c r="F15" s="3" t="inlineStr">
        <is>
          <t>Session facilitation</t>
        </is>
      </c>
      <c r="G15" s="10" t="n"/>
      <c r="H15" s="14">
        <f>IFERROR(INDEX(Initiatives!$B$2:$B$500,MATCH(A15,Initiatives!$A$2:$A$500,0)),"")</f>
        <v/>
      </c>
    </row>
    <row r="16">
      <c r="A16" s="10" t="inlineStr">
        <is>
          <t>Newsroom Digital Skills Training</t>
        </is>
      </c>
      <c r="B16" s="12" t="n">
        <v>46201</v>
      </c>
      <c r="C16" s="11" t="n">
        <v>9200</v>
      </c>
      <c r="D16" s="10" t="inlineStr">
        <is>
          <t>grants</t>
        </is>
      </c>
      <c r="E16" s="10" t="inlineStr">
        <is>
          <t>actual</t>
        </is>
      </c>
      <c r="F16" s="3" t="inlineStr">
        <is>
          <t>Newsroom training grants</t>
        </is>
      </c>
      <c r="G16" s="10" t="inlineStr">
        <is>
          <t>GR-06</t>
        </is>
      </c>
      <c r="H16" s="14">
        <f>IFERROR(INDEX(Initiatives!$B$2:$B$500,MATCH(A16,Initiatives!$A$2:$A$500,0)),"")</f>
        <v/>
      </c>
    </row>
    <row r="17">
      <c r="A17" s="10" t="inlineStr">
        <is>
          <t>Newsroom Digital Skills Training</t>
        </is>
      </c>
      <c r="B17" s="12" t="n">
        <v>46203</v>
      </c>
      <c r="C17" s="11" t="n">
        <v>6000</v>
      </c>
      <c r="D17" s="10" t="inlineStr">
        <is>
          <t>marketing</t>
        </is>
      </c>
      <c r="E17" s="10" t="inlineStr">
        <is>
          <t>actual</t>
        </is>
      </c>
      <c r="F17" s="3" t="inlineStr">
        <is>
          <t>Local News Matters YouTube series production</t>
        </is>
      </c>
      <c r="G17" s="10" t="inlineStr">
        <is>
          <t>PO-4410</t>
        </is>
      </c>
      <c r="H17" s="14">
        <f>IFERROR(INDEX(Initiatives!$B$2:$B$500,MATCH(A17,Initiatives!$A$2:$A$500,0)),"")</f>
        <v/>
      </c>
    </row>
    <row r="18">
      <c r="A18" s="10" t="inlineStr">
        <is>
          <t>Newsroom Champions (internal)</t>
        </is>
      </c>
      <c r="B18" s="12" t="n">
        <v>46203</v>
      </c>
      <c r="C18" s="11" t="n">
        <v>600</v>
      </c>
      <c r="D18" s="10" t="inlineStr">
        <is>
          <t>other</t>
        </is>
      </c>
      <c r="E18" s="10" t="inlineStr">
        <is>
          <t>actual</t>
        </is>
      </c>
      <c r="F18" s="3" t="inlineStr">
        <is>
          <t>Champions certificates and materials</t>
        </is>
      </c>
      <c r="G18" s="10" t="n"/>
      <c r="H18" s="14">
        <f>IFERROR(INDEX(Initiatives!$B$2:$B$500,MATCH(A18,Initiatives!$A$2:$A$500,0)),"")</f>
        <v/>
      </c>
    </row>
    <row r="19">
      <c r="A19" s="10" t="inlineStr">
        <is>
          <t>Newsroom Digital Skills Training</t>
        </is>
      </c>
      <c r="B19" s="12" t="n">
        <v>46231</v>
      </c>
      <c r="C19" s="11" t="n">
        <v>5000</v>
      </c>
      <c r="D19" s="10" t="inlineStr">
        <is>
          <t>staff</t>
        </is>
      </c>
      <c r="E19" s="10" t="inlineStr">
        <is>
          <t>actual</t>
        </is>
      </c>
      <c r="F19" s="3" t="inlineStr">
        <is>
          <t>Programme staff and trainers</t>
        </is>
      </c>
      <c r="G19" s="10" t="inlineStr">
        <is>
          <t>PAY-07</t>
        </is>
      </c>
      <c r="H19" s="14">
        <f>IFERROR(INDEX(Initiatives!$B$2:$B$500,MATCH(A19,Initiatives!$A$2:$A$500,0)),"")</f>
        <v/>
      </c>
    </row>
    <row r="20">
      <c r="A20" s="10" t="inlineStr">
        <is>
          <t>Newsroom Champions (internal)</t>
        </is>
      </c>
      <c r="B20" s="12" t="n">
        <v>46231</v>
      </c>
      <c r="C20" s="11" t="n">
        <v>1200</v>
      </c>
      <c r="D20" s="10" t="inlineStr">
        <is>
          <t>staff</t>
        </is>
      </c>
      <c r="E20" s="10" t="inlineStr">
        <is>
          <t>actual</t>
        </is>
      </c>
      <c r="F20" s="3" t="inlineStr">
        <is>
          <t>Session facilitation</t>
        </is>
      </c>
      <c r="G20" s="10" t="n"/>
      <c r="H20" s="14">
        <f>IFERROR(INDEX(Initiatives!$B$2:$B$500,MATCH(A20,Initiatives!$A$2:$A$500,0)),"")</f>
        <v/>
      </c>
    </row>
    <row r="21">
      <c r="A21" s="10" t="inlineStr">
        <is>
          <t>Newsroom Digital Skills Training</t>
        </is>
      </c>
      <c r="B21" s="12" t="n">
        <v>46231</v>
      </c>
      <c r="C21" s="11" t="n">
        <v>8000</v>
      </c>
      <c r="D21" s="10" t="inlineStr">
        <is>
          <t>grants</t>
        </is>
      </c>
      <c r="E21" s="10" t="inlineStr">
        <is>
          <t>actual</t>
        </is>
      </c>
      <c r="F21" s="3" t="inlineStr">
        <is>
          <t>Newsroom training grants</t>
        </is>
      </c>
      <c r="G21" s="10" t="inlineStr">
        <is>
          <t>GR-07</t>
        </is>
      </c>
      <c r="H21" s="14">
        <f>IFERROR(INDEX(Initiatives!$B$2:$B$500,MATCH(A21,Initiatives!$A$2:$A$500,0)),"")</f>
        <v/>
      </c>
    </row>
    <row r="22">
      <c r="A22" s="10" t="inlineStr">
        <is>
          <t>Newsroom Digital Skills Training</t>
        </is>
      </c>
      <c r="B22" s="12" t="n">
        <v>46234</v>
      </c>
      <c r="C22" s="11" t="n">
        <v>4500</v>
      </c>
      <c r="D22" s="10" t="inlineStr">
        <is>
          <t>events</t>
        </is>
      </c>
      <c r="E22" s="10" t="inlineStr">
        <is>
          <t>actual</t>
        </is>
      </c>
      <c r="F22" s="3" t="inlineStr">
        <is>
          <t>Newsroom Futures roadshow: venues and catering (July)</t>
        </is>
      </c>
      <c r="G22" s="10" t="n"/>
      <c r="H22" s="14">
        <f>IFERROR(INDEX(Initiatives!$B$2:$B$500,MATCH(A22,Initiatives!$A$2:$A$500,0)),"")</f>
        <v/>
      </c>
    </row>
    <row r="23">
      <c r="A23" s="10" t="inlineStr">
        <is>
          <t>Newsroom Digital Skills Training</t>
        </is>
      </c>
      <c r="B23" s="12" t="n">
        <v>46262</v>
      </c>
      <c r="C23" s="11" t="n">
        <v>5000</v>
      </c>
      <c r="D23" s="10" t="inlineStr">
        <is>
          <t>staff</t>
        </is>
      </c>
      <c r="E23" s="10" t="inlineStr">
        <is>
          <t>actual</t>
        </is>
      </c>
      <c r="F23" s="3" t="inlineStr">
        <is>
          <t>Programme staff and trainers</t>
        </is>
      </c>
      <c r="G23" s="10" t="inlineStr">
        <is>
          <t>PAY-08</t>
        </is>
      </c>
      <c r="H23" s="14">
        <f>IFERROR(INDEX(Initiatives!$B$2:$B$500,MATCH(A23,Initiatives!$A$2:$A$500,0)),"")</f>
        <v/>
      </c>
    </row>
    <row r="24">
      <c r="A24" s="10" t="inlineStr">
        <is>
          <t>Newsroom Champions (internal)</t>
        </is>
      </c>
      <c r="B24" s="12" t="n">
        <v>46262</v>
      </c>
      <c r="C24" s="11" t="n">
        <v>1200</v>
      </c>
      <c r="D24" s="10" t="inlineStr">
        <is>
          <t>staff</t>
        </is>
      </c>
      <c r="E24" s="10" t="inlineStr">
        <is>
          <t>actual</t>
        </is>
      </c>
      <c r="F24" s="3" t="inlineStr">
        <is>
          <t>Session facilitation</t>
        </is>
      </c>
      <c r="G24" s="10" t="n"/>
      <c r="H24" s="14">
        <f>IFERROR(INDEX(Initiatives!$B$2:$B$500,MATCH(A24,Initiatives!$A$2:$A$500,0)),"")</f>
        <v/>
      </c>
    </row>
    <row r="25">
      <c r="A25" s="10" t="inlineStr">
        <is>
          <t>Newsroom Digital Skills Training</t>
        </is>
      </c>
      <c r="B25" s="12" t="n">
        <v>46262</v>
      </c>
      <c r="C25" s="11" t="n">
        <v>6800</v>
      </c>
      <c r="D25" s="10" t="inlineStr">
        <is>
          <t>grants</t>
        </is>
      </c>
      <c r="E25" s="10" t="inlineStr">
        <is>
          <t>actual</t>
        </is>
      </c>
      <c r="F25" s="3" t="inlineStr">
        <is>
          <t>Newsroom training grants</t>
        </is>
      </c>
      <c r="G25" s="10" t="inlineStr">
        <is>
          <t>GR-08</t>
        </is>
      </c>
      <c r="H25" s="14">
        <f>IFERROR(INDEX(Initiatives!$B$2:$B$500,MATCH(A25,Initiatives!$A$2:$A$500,0)),"")</f>
        <v/>
      </c>
    </row>
    <row r="26">
      <c r="A26" s="10" t="inlineStr">
        <is>
          <t>Newsroom Digital Skills Training</t>
        </is>
      </c>
      <c r="B26" s="12" t="n">
        <v>46265</v>
      </c>
      <c r="C26" s="11" t="n">
        <v>4500</v>
      </c>
      <c r="D26" s="10" t="inlineStr">
        <is>
          <t>events</t>
        </is>
      </c>
      <c r="E26" s="10" t="inlineStr">
        <is>
          <t>actual</t>
        </is>
      </c>
      <c r="F26" s="3" t="inlineStr">
        <is>
          <t>Newsroom Futures roadshow: venues and catering (August)</t>
        </is>
      </c>
      <c r="G26" s="10" t="n"/>
      <c r="H26" s="14">
        <f>IFERROR(INDEX(Initiatives!$B$2:$B$500,MATCH(A26,Initiatives!$A$2:$A$500,0)),"")</f>
        <v/>
      </c>
    </row>
    <row r="27">
      <c r="A27" s="10" t="inlineStr">
        <is>
          <t>Newsroom Digital Skills Training</t>
        </is>
      </c>
      <c r="B27" s="12" t="n">
        <v>46293</v>
      </c>
      <c r="C27" s="11" t="n">
        <v>5000</v>
      </c>
      <c r="D27" s="10" t="inlineStr">
        <is>
          <t>staff</t>
        </is>
      </c>
      <c r="E27" s="10" t="inlineStr">
        <is>
          <t>actual</t>
        </is>
      </c>
      <c r="F27" s="3" t="inlineStr">
        <is>
          <t>Programme staff and trainers</t>
        </is>
      </c>
      <c r="G27" s="10" t="inlineStr">
        <is>
          <t>PAY-09</t>
        </is>
      </c>
      <c r="H27" s="14">
        <f>IFERROR(INDEX(Initiatives!$B$2:$B$500,MATCH(A27,Initiatives!$A$2:$A$500,0)),"")</f>
        <v/>
      </c>
    </row>
    <row r="28">
      <c r="A28" s="10" t="inlineStr">
        <is>
          <t>Newsroom Champions (internal)</t>
        </is>
      </c>
      <c r="B28" s="12" t="n">
        <v>46293</v>
      </c>
      <c r="C28" s="11" t="n">
        <v>1200</v>
      </c>
      <c r="D28" s="10" t="inlineStr">
        <is>
          <t>staff</t>
        </is>
      </c>
      <c r="E28" s="10" t="inlineStr">
        <is>
          <t>actual</t>
        </is>
      </c>
      <c r="F28" s="3" t="inlineStr">
        <is>
          <t>Session facilitation</t>
        </is>
      </c>
      <c r="G28" s="10" t="n"/>
      <c r="H28" s="14">
        <f>IFERROR(INDEX(Initiatives!$B$2:$B$500,MATCH(A28,Initiatives!$A$2:$A$500,0)),"")</f>
        <v/>
      </c>
    </row>
    <row r="29">
      <c r="A29" s="10" t="inlineStr">
        <is>
          <t>Newsroom Digital Skills Training</t>
        </is>
      </c>
      <c r="B29" s="12" t="n">
        <v>46293</v>
      </c>
      <c r="C29" s="11" t="n">
        <v>9200</v>
      </c>
      <c r="D29" s="10" t="inlineStr">
        <is>
          <t>grants</t>
        </is>
      </c>
      <c r="E29" s="10" t="inlineStr">
        <is>
          <t>actual</t>
        </is>
      </c>
      <c r="F29" s="3" t="inlineStr">
        <is>
          <t>Newsroom training grants</t>
        </is>
      </c>
      <c r="G29" s="10" t="inlineStr">
        <is>
          <t>GR-09</t>
        </is>
      </c>
      <c r="H29" s="14">
        <f>IFERROR(INDEX(Initiatives!$B$2:$B$500,MATCH(A29,Initiatives!$A$2:$A$500,0)),"")</f>
        <v/>
      </c>
    </row>
    <row r="30">
      <c r="A30" s="10" t="inlineStr">
        <is>
          <t>Newsroom Digital Skills Training</t>
        </is>
      </c>
      <c r="B30" s="12" t="n">
        <v>46315</v>
      </c>
      <c r="C30" s="11" t="n">
        <v>7500</v>
      </c>
      <c r="D30" s="10" t="inlineStr">
        <is>
          <t>events</t>
        </is>
      </c>
      <c r="E30" s="10" t="inlineStr">
        <is>
          <t>committed</t>
        </is>
      </c>
      <c r="F30" s="3" t="inlineStr">
        <is>
          <t>Cohort 7 venue booking</t>
        </is>
      </c>
      <c r="G30" s="10" t="inlineStr">
        <is>
          <t>PO-5530</t>
        </is>
      </c>
      <c r="H30" s="14">
        <f>IFERROR(INDEX(Initiatives!$B$2:$B$500,MATCH(A30,Initiatives!$A$2:$A$500,0)),"")</f>
        <v/>
      </c>
    </row>
    <row r="31">
      <c r="A31" s="10" t="inlineStr">
        <is>
          <t>Newsroom Digital Skills Training</t>
        </is>
      </c>
      <c r="B31" s="12" t="n">
        <v>46327</v>
      </c>
      <c r="C31" s="11" t="n">
        <v>5000</v>
      </c>
      <c r="D31" s="10" t="inlineStr">
        <is>
          <t>vendors</t>
        </is>
      </c>
      <c r="E31" s="10" t="inlineStr">
        <is>
          <t>committed</t>
        </is>
      </c>
      <c r="F31" s="3" t="inlineStr">
        <is>
          <t>Toolkit support contract (Q4)</t>
        </is>
      </c>
      <c r="G31" s="10" t="inlineStr">
        <is>
          <t>PO-5541</t>
        </is>
      </c>
      <c r="H31" s="14">
        <f>IFERROR(INDEX(Initiatives!$B$2:$B$500,MATCH(A31,Initiatives!$A$2:$A$500,0)),"")</f>
        <v/>
      </c>
    </row>
    <row r="32">
      <c r="A32" s="10" t="inlineStr">
        <is>
          <t>Newsroom Tools Partnership</t>
        </is>
      </c>
      <c r="B32" s="12" t="n">
        <v>46140</v>
      </c>
      <c r="C32" s="11" t="n">
        <v>12000</v>
      </c>
      <c r="D32" s="10" t="inlineStr">
        <is>
          <t>vendors</t>
        </is>
      </c>
      <c r="E32" s="10" t="inlineStr">
        <is>
          <t>actual</t>
        </is>
      </c>
      <c r="F32" s="3" t="inlineStr">
        <is>
          <t>Integration work, phase 1</t>
        </is>
      </c>
      <c r="G32" s="10" t="n"/>
      <c r="H32" s="14">
        <f>IFERROR(INDEX(Initiatives!$B$2:$B$500,MATCH(A32,Initiatives!$A$2:$A$500,0)),"")</f>
        <v/>
      </c>
    </row>
    <row r="33">
      <c r="A33" s="10" t="inlineStr">
        <is>
          <t>Newsroom Tools Partnership</t>
        </is>
      </c>
      <c r="B33" s="12" t="n">
        <v>46201</v>
      </c>
      <c r="C33" s="11" t="n">
        <v>8000</v>
      </c>
      <c r="D33" s="10" t="inlineStr">
        <is>
          <t>vendors</t>
        </is>
      </c>
      <c r="E33" s="10" t="inlineStr">
        <is>
          <t>actual</t>
        </is>
      </c>
      <c r="F33" s="3" t="inlineStr">
        <is>
          <t>Integration work, phase 2</t>
        </is>
      </c>
      <c r="G33" s="10" t="n"/>
      <c r="H33" s="14">
        <f>IFERROR(INDEX(Initiatives!$B$2:$B$500,MATCH(A33,Initiatives!$A$2:$A$500,0)),"")</f>
        <v/>
      </c>
    </row>
    <row r="34">
      <c r="A34" s="10" t="inlineStr">
        <is>
          <t>Newsroom Tools Partnership</t>
        </is>
      </c>
      <c r="B34" s="12" t="n">
        <v>46201</v>
      </c>
      <c r="C34" s="11" t="n">
        <v>3000</v>
      </c>
      <c r="D34" s="10" t="inlineStr">
        <is>
          <t>events</t>
        </is>
      </c>
      <c r="E34" s="10" t="inlineStr">
        <is>
          <t>actual</t>
        </is>
      </c>
      <c r="F34" s="3" t="inlineStr">
        <is>
          <t>Tools launch webinars</t>
        </is>
      </c>
      <c r="G34" s="10" t="n"/>
      <c r="H34" s="14">
        <f>IFERROR(INDEX(Initiatives!$B$2:$B$500,MATCH(A34,Initiatives!$A$2:$A$500,0)),"")</f>
        <v/>
      </c>
    </row>
    <row r="35">
      <c r="A35" s="10" t="inlineStr">
        <is>
          <t>Newsroom Tools Partnership</t>
        </is>
      </c>
      <c r="B35" s="12" t="n">
        <v>46341</v>
      </c>
      <c r="C35" s="11" t="n">
        <v>8000</v>
      </c>
      <c r="D35" s="10" t="inlineStr">
        <is>
          <t>vendors</t>
        </is>
      </c>
      <c r="E35" s="10" t="inlineStr">
        <is>
          <t>committed</t>
        </is>
      </c>
      <c r="F35" s="3" t="inlineStr">
        <is>
          <t>Integration work, phase 3</t>
        </is>
      </c>
      <c r="G35" s="10" t="n"/>
      <c r="H35" s="14">
        <f>IFERROR(INDEX(Initiatives!$B$2:$B$500,MATCH(A35,Initiatives!$A$2:$A$500,0)),"")</f>
        <v/>
      </c>
    </row>
    <row r="36">
      <c r="A36" s="10" t="inlineStr">
        <is>
          <t>Newsroom Tools Partnership</t>
        </is>
      </c>
      <c r="B36" s="12" t="n">
        <v>46109</v>
      </c>
      <c r="C36" s="11" t="n">
        <v>3000</v>
      </c>
      <c r="D36" s="10" t="inlineStr">
        <is>
          <t>staff</t>
        </is>
      </c>
      <c r="E36" s="10" t="inlineStr">
        <is>
          <t>actual</t>
        </is>
      </c>
      <c r="F36" s="3" t="inlineStr">
        <is>
          <t>Partnerships manager (part)</t>
        </is>
      </c>
      <c r="G36" s="10" t="n"/>
      <c r="H36" s="14">
        <f>IFERROR(INDEX(Initiatives!$B$2:$B$500,MATCH(A36,Initiatives!$A$2:$A$500,0)),"")</f>
        <v/>
      </c>
    </row>
    <row r="37">
      <c r="A37" s="10" t="inlineStr">
        <is>
          <t>Newsroom Tools Partnership</t>
        </is>
      </c>
      <c r="B37" s="12" t="n">
        <v>46140</v>
      </c>
      <c r="C37" s="11" t="n">
        <v>3000</v>
      </c>
      <c r="D37" s="10" t="inlineStr">
        <is>
          <t>staff</t>
        </is>
      </c>
      <c r="E37" s="10" t="inlineStr">
        <is>
          <t>actual</t>
        </is>
      </c>
      <c r="F37" s="3" t="inlineStr">
        <is>
          <t>Partnerships manager (part)</t>
        </is>
      </c>
      <c r="G37" s="10" t="n"/>
      <c r="H37" s="14">
        <f>IFERROR(INDEX(Initiatives!$B$2:$B$500,MATCH(A37,Initiatives!$A$2:$A$500,0)),"")</f>
        <v/>
      </c>
    </row>
    <row r="38">
      <c r="A38" s="10" t="inlineStr">
        <is>
          <t>Newsroom Tools Partnership</t>
        </is>
      </c>
      <c r="B38" s="12" t="n">
        <v>46170</v>
      </c>
      <c r="C38" s="11" t="n">
        <v>3000</v>
      </c>
      <c r="D38" s="10" t="inlineStr">
        <is>
          <t>staff</t>
        </is>
      </c>
      <c r="E38" s="10" t="inlineStr">
        <is>
          <t>actual</t>
        </is>
      </c>
      <c r="F38" s="3" t="inlineStr">
        <is>
          <t>Partnerships manager (part)</t>
        </is>
      </c>
      <c r="G38" s="10" t="n"/>
      <c r="H38" s="14">
        <f>IFERROR(INDEX(Initiatives!$B$2:$B$500,MATCH(A38,Initiatives!$A$2:$A$500,0)),"")</f>
        <v/>
      </c>
    </row>
    <row r="39">
      <c r="A39" s="10" t="inlineStr">
        <is>
          <t>Newsroom Tools Partnership</t>
        </is>
      </c>
      <c r="B39" s="12" t="n">
        <v>46201</v>
      </c>
      <c r="C39" s="11" t="n">
        <v>3000</v>
      </c>
      <c r="D39" s="10" t="inlineStr">
        <is>
          <t>staff</t>
        </is>
      </c>
      <c r="E39" s="10" t="inlineStr">
        <is>
          <t>actual</t>
        </is>
      </c>
      <c r="F39" s="3" t="inlineStr">
        <is>
          <t>Partnerships manager (part)</t>
        </is>
      </c>
      <c r="G39" s="10" t="n"/>
      <c r="H39" s="14">
        <f>IFERROR(INDEX(Initiatives!$B$2:$B$500,MATCH(A39,Initiatives!$A$2:$A$500,0)),"")</f>
        <v/>
      </c>
    </row>
    <row r="40">
      <c r="A40" s="10" t="inlineStr">
        <is>
          <t>Newsroom Tools Partnership</t>
        </is>
      </c>
      <c r="B40" s="12" t="n">
        <v>46231</v>
      </c>
      <c r="C40" s="11" t="n">
        <v>3000</v>
      </c>
      <c r="D40" s="10" t="inlineStr">
        <is>
          <t>staff</t>
        </is>
      </c>
      <c r="E40" s="10" t="inlineStr">
        <is>
          <t>actual</t>
        </is>
      </c>
      <c r="F40" s="3" t="inlineStr">
        <is>
          <t>Partnerships manager (part)</t>
        </is>
      </c>
      <c r="G40" s="10" t="n"/>
      <c r="H40" s="14">
        <f>IFERROR(INDEX(Initiatives!$B$2:$B$500,MATCH(A40,Initiatives!$A$2:$A$500,0)),"")</f>
        <v/>
      </c>
    </row>
    <row r="41">
      <c r="A41" s="10" t="inlineStr">
        <is>
          <t>Newsroom Tools Partnership</t>
        </is>
      </c>
      <c r="B41" s="12" t="n">
        <v>46262</v>
      </c>
      <c r="C41" s="11" t="n">
        <v>3000</v>
      </c>
      <c r="D41" s="10" t="inlineStr">
        <is>
          <t>staff</t>
        </is>
      </c>
      <c r="E41" s="10" t="inlineStr">
        <is>
          <t>actual</t>
        </is>
      </c>
      <c r="F41" s="3" t="inlineStr">
        <is>
          <t>Partnerships manager (part)</t>
        </is>
      </c>
      <c r="G41" s="10" t="n"/>
      <c r="H41" s="14">
        <f>IFERROR(INDEX(Initiatives!$B$2:$B$500,MATCH(A41,Initiatives!$A$2:$A$500,0)),"")</f>
        <v/>
      </c>
    </row>
    <row r="42">
      <c r="A42" s="10" t="inlineStr">
        <is>
          <t>Newsroom Tools Partnership</t>
        </is>
      </c>
      <c r="B42" s="12" t="n">
        <v>46293</v>
      </c>
      <c r="C42" s="11" t="n">
        <v>3000</v>
      </c>
      <c r="D42" s="10" t="inlineStr">
        <is>
          <t>staff</t>
        </is>
      </c>
      <c r="E42" s="10" t="inlineStr">
        <is>
          <t>actual</t>
        </is>
      </c>
      <c r="F42" s="3" t="inlineStr">
        <is>
          <t>Partnerships manager (part)</t>
        </is>
      </c>
      <c r="G42" s="10" t="n"/>
      <c r="H42" s="14">
        <f>IFERROR(INDEX(Initiatives!$B$2:$B$500,MATCH(A42,Initiatives!$A$2:$A$500,0)),"")</f>
        <v/>
      </c>
    </row>
    <row r="43">
      <c r="A43" s="10" t="inlineStr">
        <is>
          <t>Product Feedback Loop (internal)</t>
        </is>
      </c>
      <c r="B43" s="12" t="n">
        <v>46170</v>
      </c>
      <c r="C43" s="11" t="n">
        <v>1500</v>
      </c>
      <c r="D43" s="10" t="inlineStr">
        <is>
          <t>travel</t>
        </is>
      </c>
      <c r="E43" s="10" t="inlineStr">
        <is>
          <t>actual</t>
        </is>
      </c>
      <c r="F43" s="3" t="inlineStr">
        <is>
          <t>Product team newsroom visits</t>
        </is>
      </c>
      <c r="G43" s="10" t="n"/>
      <c r="H43" s="14">
        <f>IFERROR(INDEX(Initiatives!$B$2:$B$500,MATCH(A43,Initiatives!$A$2:$A$500,0)),"")</f>
        <v/>
      </c>
    </row>
    <row r="44">
      <c r="A44" s="10" t="inlineStr">
        <is>
          <t>Product Feedback Loop (internal)</t>
        </is>
      </c>
      <c r="B44" s="12" t="n">
        <v>46262</v>
      </c>
      <c r="C44" s="11" t="n">
        <v>1500</v>
      </c>
      <c r="D44" s="10" t="inlineStr">
        <is>
          <t>travel</t>
        </is>
      </c>
      <c r="E44" s="10" t="inlineStr">
        <is>
          <t>actual</t>
        </is>
      </c>
      <c r="F44" s="3" t="inlineStr">
        <is>
          <t>Product team newsroom visits</t>
        </is>
      </c>
      <c r="G44" s="10" t="n"/>
      <c r="H44" s="14">
        <f>IFERROR(INDEX(Initiatives!$B$2:$B$500,MATCH(A44,Initiatives!$A$2:$A$500,0)),"")</f>
        <v/>
      </c>
    </row>
    <row r="45">
      <c r="A45" s="10" t="inlineStr">
        <is>
          <t>Product Feedback Loop (internal)</t>
        </is>
      </c>
      <c r="B45" s="12" t="n">
        <v>46140</v>
      </c>
      <c r="C45" s="11" t="n">
        <v>850</v>
      </c>
      <c r="D45" s="10" t="inlineStr">
        <is>
          <t>staff</t>
        </is>
      </c>
      <c r="E45" s="10" t="inlineStr">
        <is>
          <t>actual</t>
        </is>
      </c>
      <c r="F45" s="3" t="inlineStr">
        <is>
          <t>Session facilitation</t>
        </is>
      </c>
      <c r="G45" s="10" t="n"/>
      <c r="H45" s="14">
        <f>IFERROR(INDEX(Initiatives!$B$2:$B$500,MATCH(A45,Initiatives!$A$2:$A$500,0)),"")</f>
        <v/>
      </c>
    </row>
    <row r="46">
      <c r="A46" s="10" t="inlineStr">
        <is>
          <t>Product Feedback Loop (internal)</t>
        </is>
      </c>
      <c r="B46" s="12" t="n">
        <v>46170</v>
      </c>
      <c r="C46" s="11" t="n">
        <v>850</v>
      </c>
      <c r="D46" s="10" t="inlineStr">
        <is>
          <t>staff</t>
        </is>
      </c>
      <c r="E46" s="10" t="inlineStr">
        <is>
          <t>actual</t>
        </is>
      </c>
      <c r="F46" s="3" t="inlineStr">
        <is>
          <t>Session facilitation</t>
        </is>
      </c>
      <c r="G46" s="10" t="n"/>
      <c r="H46" s="14">
        <f>IFERROR(INDEX(Initiatives!$B$2:$B$500,MATCH(A46,Initiatives!$A$2:$A$500,0)),"")</f>
        <v/>
      </c>
    </row>
    <row r="47">
      <c r="A47" s="10" t="inlineStr">
        <is>
          <t>Product Feedback Loop (internal)</t>
        </is>
      </c>
      <c r="B47" s="12" t="n">
        <v>46201</v>
      </c>
      <c r="C47" s="11" t="n">
        <v>850</v>
      </c>
      <c r="D47" s="10" t="inlineStr">
        <is>
          <t>staff</t>
        </is>
      </c>
      <c r="E47" s="10" t="inlineStr">
        <is>
          <t>actual</t>
        </is>
      </c>
      <c r="F47" s="3" t="inlineStr">
        <is>
          <t>Session facilitation</t>
        </is>
      </c>
      <c r="G47" s="10" t="n"/>
      <c r="H47" s="14">
        <f>IFERROR(INDEX(Initiatives!$B$2:$B$500,MATCH(A47,Initiatives!$A$2:$A$500,0)),"")</f>
        <v/>
      </c>
    </row>
    <row r="48">
      <c r="A48" s="10" t="inlineStr">
        <is>
          <t>Product Feedback Loop (internal)</t>
        </is>
      </c>
      <c r="B48" s="12" t="n">
        <v>46231</v>
      </c>
      <c r="C48" s="11" t="n">
        <v>850</v>
      </c>
      <c r="D48" s="10" t="inlineStr">
        <is>
          <t>staff</t>
        </is>
      </c>
      <c r="E48" s="10" t="inlineStr">
        <is>
          <t>actual</t>
        </is>
      </c>
      <c r="F48" s="3" t="inlineStr">
        <is>
          <t>Session facilitation</t>
        </is>
      </c>
      <c r="G48" s="10" t="n"/>
      <c r="H48" s="14">
        <f>IFERROR(INDEX(Initiatives!$B$2:$B$500,MATCH(A48,Initiatives!$A$2:$A$500,0)),"")</f>
        <v/>
      </c>
    </row>
    <row r="49">
      <c r="A49" s="10" t="inlineStr">
        <is>
          <t>Product Feedback Loop (internal)</t>
        </is>
      </c>
      <c r="B49" s="12" t="n">
        <v>46262</v>
      </c>
      <c r="C49" s="11" t="n">
        <v>850</v>
      </c>
      <c r="D49" s="10" t="inlineStr">
        <is>
          <t>staff</t>
        </is>
      </c>
      <c r="E49" s="10" t="inlineStr">
        <is>
          <t>actual</t>
        </is>
      </c>
      <c r="F49" s="3" t="inlineStr">
        <is>
          <t>Session facilitation</t>
        </is>
      </c>
      <c r="G49" s="10" t="n"/>
      <c r="H49" s="14">
        <f>IFERROR(INDEX(Initiatives!$B$2:$B$500,MATCH(A49,Initiatives!$A$2:$A$500,0)),"")</f>
        <v/>
      </c>
    </row>
    <row r="50">
      <c r="A50" s="10" t="inlineStr">
        <is>
          <t>Product Feedback Loop (internal)</t>
        </is>
      </c>
      <c r="B50" s="12" t="n">
        <v>46293</v>
      </c>
      <c r="C50" s="11" t="n">
        <v>850</v>
      </c>
      <c r="D50" s="10" t="inlineStr">
        <is>
          <t>staff</t>
        </is>
      </c>
      <c r="E50" s="10" t="inlineStr">
        <is>
          <t>actual</t>
        </is>
      </c>
      <c r="F50" s="3" t="inlineStr">
        <is>
          <t>Session facilitation</t>
        </is>
      </c>
      <c r="G50" s="10" t="n"/>
      <c r="H50" s="14">
        <f>IFERROR(INDEX(Initiatives!$B$2:$B$500,MATCH(A50,Initiatives!$A$2:$A$500,0)),"")</f>
        <v/>
      </c>
    </row>
    <row r="51">
      <c r="A51" s="10" t="inlineStr">
        <is>
          <t>Local News Audience Study</t>
        </is>
      </c>
      <c r="B51" s="12" t="n">
        <v>46140</v>
      </c>
      <c r="C51" s="11" t="n">
        <v>9000</v>
      </c>
      <c r="D51" s="10" t="inlineStr">
        <is>
          <t>vendors</t>
        </is>
      </c>
      <c r="E51" s="10" t="inlineStr">
        <is>
          <t>actual</t>
        </is>
      </c>
      <c r="F51" s="3" t="inlineStr">
        <is>
          <t>Survey panel, wave 1</t>
        </is>
      </c>
      <c r="G51" s="10" t="n"/>
      <c r="H51" s="14">
        <f>IFERROR(INDEX(Initiatives!$B$2:$B$500,MATCH(A51,Initiatives!$A$2:$A$500,0)),"")</f>
        <v/>
      </c>
    </row>
    <row r="52">
      <c r="A52" s="10" t="inlineStr">
        <is>
          <t>Local News Audience Study</t>
        </is>
      </c>
      <c r="B52" s="12" t="n">
        <v>46201</v>
      </c>
      <c r="C52" s="11" t="n">
        <v>9000</v>
      </c>
      <c r="D52" s="10" t="inlineStr">
        <is>
          <t>vendors</t>
        </is>
      </c>
      <c r="E52" s="10" t="inlineStr">
        <is>
          <t>actual</t>
        </is>
      </c>
      <c r="F52" s="3" t="inlineStr">
        <is>
          <t>Survey panel, wave 2</t>
        </is>
      </c>
      <c r="G52" s="10" t="n"/>
      <c r="H52" s="14">
        <f>IFERROR(INDEX(Initiatives!$B$2:$B$500,MATCH(A52,Initiatives!$A$2:$A$500,0)),"")</f>
        <v/>
      </c>
    </row>
    <row r="53">
      <c r="A53" s="10" t="inlineStr">
        <is>
          <t>Local News Audience Study</t>
        </is>
      </c>
      <c r="B53" s="12" t="n">
        <v>46262</v>
      </c>
      <c r="C53" s="11" t="n">
        <v>6000</v>
      </c>
      <c r="D53" s="10" t="inlineStr">
        <is>
          <t>vendors</t>
        </is>
      </c>
      <c r="E53" s="10" t="inlineStr">
        <is>
          <t>actual</t>
        </is>
      </c>
      <c r="F53" s="3" t="inlineStr">
        <is>
          <t>Survey panel, wave 3</t>
        </is>
      </c>
      <c r="G53" s="10" t="n"/>
      <c r="H53" s="14">
        <f>IFERROR(INDEX(Initiatives!$B$2:$B$500,MATCH(A53,Initiatives!$A$2:$A$500,0)),"")</f>
        <v/>
      </c>
    </row>
    <row r="54">
      <c r="A54" s="10" t="inlineStr">
        <is>
          <t>Local News Audience Study</t>
        </is>
      </c>
      <c r="B54" s="12" t="n">
        <v>46231</v>
      </c>
      <c r="C54" s="11" t="n">
        <v>1000</v>
      </c>
      <c r="D54" s="10" t="inlineStr">
        <is>
          <t>other</t>
        </is>
      </c>
      <c r="E54" s="10" t="inlineStr">
        <is>
          <t>actual</t>
        </is>
      </c>
      <c r="F54" s="3" t="inlineStr">
        <is>
          <t>Translation</t>
        </is>
      </c>
      <c r="G54" s="10" t="n"/>
      <c r="H54" s="14">
        <f>IFERROR(INDEX(Initiatives!$B$2:$B$500,MATCH(A54,Initiatives!$A$2:$A$500,0)),"")</f>
        <v/>
      </c>
    </row>
    <row r="55">
      <c r="A55" s="10" t="inlineStr">
        <is>
          <t>Local News Audience Study</t>
        </is>
      </c>
      <c r="B55" s="12" t="n">
        <v>46109</v>
      </c>
      <c r="C55" s="11" t="n">
        <v>1800</v>
      </c>
      <c r="D55" s="10" t="inlineStr">
        <is>
          <t>staff</t>
        </is>
      </c>
      <c r="E55" s="10" t="inlineStr">
        <is>
          <t>actual</t>
        </is>
      </c>
      <c r="F55" s="3" t="inlineStr">
        <is>
          <t>Researcher (part)</t>
        </is>
      </c>
      <c r="G55" s="10" t="n"/>
      <c r="H55" s="14">
        <f>IFERROR(INDEX(Initiatives!$B$2:$B$500,MATCH(A55,Initiatives!$A$2:$A$500,0)),"")</f>
        <v/>
      </c>
    </row>
    <row r="56">
      <c r="A56" s="10" t="inlineStr">
        <is>
          <t>Local News Audience Study</t>
        </is>
      </c>
      <c r="B56" s="12" t="n">
        <v>46140</v>
      </c>
      <c r="C56" s="11" t="n">
        <v>1800</v>
      </c>
      <c r="D56" s="10" t="inlineStr">
        <is>
          <t>staff</t>
        </is>
      </c>
      <c r="E56" s="10" t="inlineStr">
        <is>
          <t>actual</t>
        </is>
      </c>
      <c r="F56" s="3" t="inlineStr">
        <is>
          <t>Researcher (part)</t>
        </is>
      </c>
      <c r="G56" s="10" t="n"/>
      <c r="H56" s="14">
        <f>IFERROR(INDEX(Initiatives!$B$2:$B$500,MATCH(A56,Initiatives!$A$2:$A$500,0)),"")</f>
        <v/>
      </c>
    </row>
    <row r="57">
      <c r="A57" s="10" t="inlineStr">
        <is>
          <t>Local News Audience Study</t>
        </is>
      </c>
      <c r="B57" s="12" t="n">
        <v>46170</v>
      </c>
      <c r="C57" s="11" t="n">
        <v>1800</v>
      </c>
      <c r="D57" s="10" t="inlineStr">
        <is>
          <t>staff</t>
        </is>
      </c>
      <c r="E57" s="10" t="inlineStr">
        <is>
          <t>actual</t>
        </is>
      </c>
      <c r="F57" s="3" t="inlineStr">
        <is>
          <t>Researcher (part)</t>
        </is>
      </c>
      <c r="G57" s="10" t="n"/>
      <c r="H57" s="14">
        <f>IFERROR(INDEX(Initiatives!$B$2:$B$500,MATCH(A57,Initiatives!$A$2:$A$500,0)),"")</f>
        <v/>
      </c>
    </row>
    <row r="58">
      <c r="A58" s="10" t="inlineStr">
        <is>
          <t>Local News Audience Study</t>
        </is>
      </c>
      <c r="B58" s="12" t="n">
        <v>46201</v>
      </c>
      <c r="C58" s="11" t="n">
        <v>1800</v>
      </c>
      <c r="D58" s="10" t="inlineStr">
        <is>
          <t>staff</t>
        </is>
      </c>
      <c r="E58" s="10" t="inlineStr">
        <is>
          <t>actual</t>
        </is>
      </c>
      <c r="F58" s="3" t="inlineStr">
        <is>
          <t>Researcher (part)</t>
        </is>
      </c>
      <c r="G58" s="10" t="n"/>
      <c r="H58" s="14">
        <f>IFERROR(INDEX(Initiatives!$B$2:$B$500,MATCH(A58,Initiatives!$A$2:$A$500,0)),"")</f>
        <v/>
      </c>
    </row>
    <row r="59">
      <c r="A59" s="10" t="inlineStr">
        <is>
          <t>Local News Audience Study</t>
        </is>
      </c>
      <c r="B59" s="12" t="n">
        <v>46231</v>
      </c>
      <c r="C59" s="11" t="n">
        <v>1800</v>
      </c>
      <c r="D59" s="10" t="inlineStr">
        <is>
          <t>staff</t>
        </is>
      </c>
      <c r="E59" s="10" t="inlineStr">
        <is>
          <t>actual</t>
        </is>
      </c>
      <c r="F59" s="3" t="inlineStr">
        <is>
          <t>Researcher (part)</t>
        </is>
      </c>
      <c r="G59" s="10" t="n"/>
      <c r="H59" s="14">
        <f>IFERROR(INDEX(Initiatives!$B$2:$B$500,MATCH(A59,Initiatives!$A$2:$A$500,0)),"")</f>
        <v/>
      </c>
    </row>
    <row r="60">
      <c r="A60" s="10" t="inlineStr">
        <is>
          <t>Local News Audience Study</t>
        </is>
      </c>
      <c r="B60" s="12" t="n">
        <v>46262</v>
      </c>
      <c r="C60" s="11" t="n">
        <v>1800</v>
      </c>
      <c r="D60" s="10" t="inlineStr">
        <is>
          <t>staff</t>
        </is>
      </c>
      <c r="E60" s="10" t="inlineStr">
        <is>
          <t>actual</t>
        </is>
      </c>
      <c r="F60" s="3" t="inlineStr">
        <is>
          <t>Researcher (part)</t>
        </is>
      </c>
      <c r="G60" s="10" t="n"/>
      <c r="H60" s="14">
        <f>IFERROR(INDEX(Initiatives!$B$2:$B$500,MATCH(A60,Initiatives!$A$2:$A$500,0)),"")</f>
        <v/>
      </c>
    </row>
    <row r="61">
      <c r="A61" s="10" t="inlineStr">
        <is>
          <t>Local News Audience Study</t>
        </is>
      </c>
      <c r="B61" s="12" t="n">
        <v>46293</v>
      </c>
      <c r="C61" s="11" t="n">
        <v>2200</v>
      </c>
      <c r="D61" s="10" t="inlineStr">
        <is>
          <t>staff</t>
        </is>
      </c>
      <c r="E61" s="10" t="inlineStr">
        <is>
          <t>actual</t>
        </is>
      </c>
      <c r="F61" s="3" t="inlineStr">
        <is>
          <t>Researcher (part)</t>
        </is>
      </c>
      <c r="G61" s="10" t="n"/>
      <c r="H61" s="14">
        <f>IFERROR(INDEX(Initiatives!$B$2:$B$500,MATCH(A61,Initiatives!$A$2:$A$500,0)),"")</f>
        <v/>
      </c>
    </row>
    <row r="62">
      <c r="A62" s="10" t="inlineStr">
        <is>
          <t>Global News Summit 2026</t>
        </is>
      </c>
      <c r="B62" s="12" t="n">
        <v>46201</v>
      </c>
      <c r="C62" s="11" t="n">
        <v>6000</v>
      </c>
      <c r="D62" s="10" t="inlineStr">
        <is>
          <t>events</t>
        </is>
      </c>
      <c r="E62" s="10" t="inlineStr">
        <is>
          <t>actual</t>
        </is>
      </c>
      <c r="F62" s="3" t="inlineStr">
        <is>
          <t>Venue deposit</t>
        </is>
      </c>
      <c r="G62" s="10" t="n"/>
      <c r="H62" s="14">
        <f>IFERROR(INDEX(Initiatives!$B$2:$B$500,MATCH(A62,Initiatives!$A$2:$A$500,0)),"")</f>
        <v/>
      </c>
    </row>
    <row r="63">
      <c r="A63" s="10" t="inlineStr">
        <is>
          <t>Global News Summit 2026</t>
        </is>
      </c>
      <c r="B63" s="12" t="n">
        <v>46231</v>
      </c>
      <c r="C63" s="11" t="n">
        <v>4000</v>
      </c>
      <c r="D63" s="10" t="inlineStr">
        <is>
          <t>marketing</t>
        </is>
      </c>
      <c r="E63" s="10" t="inlineStr">
        <is>
          <t>actual</t>
        </is>
      </c>
      <c r="F63" s="3" t="inlineStr">
        <is>
          <t>Early-bird campaign</t>
        </is>
      </c>
      <c r="G63" s="10" t="n"/>
      <c r="H63" s="14">
        <f>IFERROR(INDEX(Initiatives!$B$2:$B$500,MATCH(A63,Initiatives!$A$2:$A$500,0)),"")</f>
        <v/>
      </c>
    </row>
    <row r="64">
      <c r="A64" s="10" t="inlineStr">
        <is>
          <t>Global News Summit 2026</t>
        </is>
      </c>
      <c r="B64" s="12" t="n">
        <v>46262</v>
      </c>
      <c r="C64" s="11" t="n">
        <v>3000</v>
      </c>
      <c r="D64" s="10" t="inlineStr">
        <is>
          <t>travel</t>
        </is>
      </c>
      <c r="E64" s="10" t="inlineStr">
        <is>
          <t>actual</t>
        </is>
      </c>
      <c r="F64" s="3" t="inlineStr">
        <is>
          <t>Speaker travel bookings</t>
        </is>
      </c>
      <c r="G64" s="10" t="n"/>
      <c r="H64" s="14">
        <f>IFERROR(INDEX(Initiatives!$B$2:$B$500,MATCH(A64,Initiatives!$A$2:$A$500,0)),"")</f>
        <v/>
      </c>
    </row>
    <row r="65">
      <c r="A65" s="10" t="inlineStr">
        <is>
          <t>Global News Summit 2026</t>
        </is>
      </c>
      <c r="B65" s="12" t="n">
        <v>46336</v>
      </c>
      <c r="C65" s="11" t="n">
        <v>22000</v>
      </c>
      <c r="D65" s="10" t="inlineStr">
        <is>
          <t>events</t>
        </is>
      </c>
      <c r="E65" s="10" t="inlineStr">
        <is>
          <t>committed</t>
        </is>
      </c>
      <c r="F65" s="3" t="inlineStr">
        <is>
          <t>Venue, AV and catering balance</t>
        </is>
      </c>
      <c r="G65" s="10" t="n"/>
      <c r="H65" s="14">
        <f>IFERROR(INDEX(Initiatives!$B$2:$B$500,MATCH(A65,Initiatives!$A$2:$A$500,0)),"")</f>
        <v/>
      </c>
    </row>
    <row r="66">
      <c r="A66" s="10" t="inlineStr">
        <is>
          <t>Global News Summit 2026</t>
        </is>
      </c>
      <c r="B66" s="12" t="n">
        <v>46109</v>
      </c>
      <c r="C66" s="11" t="n">
        <v>1000</v>
      </c>
      <c r="D66" s="10" t="inlineStr">
        <is>
          <t>staff</t>
        </is>
      </c>
      <c r="E66" s="10" t="inlineStr">
        <is>
          <t>actual</t>
        </is>
      </c>
      <c r="F66" s="3" t="inlineStr">
        <is>
          <t>Event coordinator (part)</t>
        </is>
      </c>
      <c r="G66" s="10" t="n"/>
      <c r="H66" s="14">
        <f>IFERROR(INDEX(Initiatives!$B$2:$B$500,MATCH(A66,Initiatives!$A$2:$A$500,0)),"")</f>
        <v/>
      </c>
    </row>
    <row r="67">
      <c r="A67" s="10" t="inlineStr">
        <is>
          <t>Global News Summit 2026</t>
        </is>
      </c>
      <c r="B67" s="12" t="n">
        <v>46140</v>
      </c>
      <c r="C67" s="11" t="n">
        <v>1000</v>
      </c>
      <c r="D67" s="10" t="inlineStr">
        <is>
          <t>staff</t>
        </is>
      </c>
      <c r="E67" s="10" t="inlineStr">
        <is>
          <t>actual</t>
        </is>
      </c>
      <c r="F67" s="3" t="inlineStr">
        <is>
          <t>Event coordinator (part)</t>
        </is>
      </c>
      <c r="G67" s="10" t="n"/>
      <c r="H67" s="14">
        <f>IFERROR(INDEX(Initiatives!$B$2:$B$500,MATCH(A67,Initiatives!$A$2:$A$500,0)),"")</f>
        <v/>
      </c>
    </row>
    <row r="68">
      <c r="A68" s="10" t="inlineStr">
        <is>
          <t>Global News Summit 2026</t>
        </is>
      </c>
      <c r="B68" s="12" t="n">
        <v>46170</v>
      </c>
      <c r="C68" s="11" t="n">
        <v>1000</v>
      </c>
      <c r="D68" s="10" t="inlineStr">
        <is>
          <t>staff</t>
        </is>
      </c>
      <c r="E68" s="10" t="inlineStr">
        <is>
          <t>actual</t>
        </is>
      </c>
      <c r="F68" s="3" t="inlineStr">
        <is>
          <t>Event coordinator (part)</t>
        </is>
      </c>
      <c r="G68" s="10" t="n"/>
      <c r="H68" s="14">
        <f>IFERROR(INDEX(Initiatives!$B$2:$B$500,MATCH(A68,Initiatives!$A$2:$A$500,0)),"")</f>
        <v/>
      </c>
    </row>
    <row r="69">
      <c r="A69" s="10" t="inlineStr">
        <is>
          <t>Global News Summit 2026</t>
        </is>
      </c>
      <c r="B69" s="12" t="n">
        <v>46201</v>
      </c>
      <c r="C69" s="11" t="n">
        <v>1000</v>
      </c>
      <c r="D69" s="10" t="inlineStr">
        <is>
          <t>staff</t>
        </is>
      </c>
      <c r="E69" s="10" t="inlineStr">
        <is>
          <t>actual</t>
        </is>
      </c>
      <c r="F69" s="3" t="inlineStr">
        <is>
          <t>Event coordinator (part)</t>
        </is>
      </c>
      <c r="G69" s="10" t="n"/>
      <c r="H69" s="14">
        <f>IFERROR(INDEX(Initiatives!$B$2:$B$500,MATCH(A69,Initiatives!$A$2:$A$500,0)),"")</f>
        <v/>
      </c>
    </row>
    <row r="70">
      <c r="A70" s="10" t="inlineStr">
        <is>
          <t>Global News Summit 2026</t>
        </is>
      </c>
      <c r="B70" s="12" t="n">
        <v>46231</v>
      </c>
      <c r="C70" s="11" t="n">
        <v>1000</v>
      </c>
      <c r="D70" s="10" t="inlineStr">
        <is>
          <t>staff</t>
        </is>
      </c>
      <c r="E70" s="10" t="inlineStr">
        <is>
          <t>actual</t>
        </is>
      </c>
      <c r="F70" s="3" t="inlineStr">
        <is>
          <t>Event coordinator (part)</t>
        </is>
      </c>
      <c r="G70" s="10" t="n"/>
      <c r="H70" s="14">
        <f>IFERROR(INDEX(Initiatives!$B$2:$B$500,MATCH(A70,Initiatives!$A$2:$A$500,0)),"")</f>
        <v/>
      </c>
    </row>
    <row r="71">
      <c r="A71" s="10" t="inlineStr">
        <is>
          <t>Global News Summit 2026</t>
        </is>
      </c>
      <c r="B71" s="12" t="n">
        <v>46262</v>
      </c>
      <c r="C71" s="11" t="n">
        <v>1000</v>
      </c>
      <c r="D71" s="10" t="inlineStr">
        <is>
          <t>staff</t>
        </is>
      </c>
      <c r="E71" s="10" t="inlineStr">
        <is>
          <t>actual</t>
        </is>
      </c>
      <c r="F71" s="3" t="inlineStr">
        <is>
          <t>Event coordinator (part)</t>
        </is>
      </c>
      <c r="G71" s="10" t="n"/>
      <c r="H71" s="14">
        <f>IFERROR(INDEX(Initiatives!$B$2:$B$500,MATCH(A71,Initiatives!$A$2:$A$500,0)),"")</f>
        <v/>
      </c>
    </row>
    <row r="72">
      <c r="A72" s="10" t="inlineStr">
        <is>
          <t>Global News Summit 2026</t>
        </is>
      </c>
      <c r="B72" s="12" t="n">
        <v>46293</v>
      </c>
      <c r="C72" s="11" t="n">
        <v>1000</v>
      </c>
      <c r="D72" s="10" t="inlineStr">
        <is>
          <t>staff</t>
        </is>
      </c>
      <c r="E72" s="10" t="inlineStr">
        <is>
          <t>actual</t>
        </is>
      </c>
      <c r="F72" s="3" t="inlineStr">
        <is>
          <t>Event coordinator (part)</t>
        </is>
      </c>
      <c r="G72" s="10" t="n"/>
      <c r="H72" s="14">
        <f>IFERROR(INDEX(Initiatives!$B$2:$B$500,MATCH(A72,Initiatives!$A$2:$A$500,0)),"")</f>
        <v/>
      </c>
    </row>
    <row r="73">
      <c r="A73" s="10" t="inlineStr">
        <is>
          <t>Lunch &amp; Learn series (internal)</t>
        </is>
      </c>
      <c r="B73" s="12" t="n">
        <v>46109</v>
      </c>
      <c r="C73" s="11" t="n">
        <v>1100</v>
      </c>
      <c r="D73" s="10" t="inlineStr">
        <is>
          <t>events</t>
        </is>
      </c>
      <c r="E73" s="10" t="inlineStr">
        <is>
          <t>actual</t>
        </is>
      </c>
      <c r="F73" s="3" t="inlineStr">
        <is>
          <t>Catering and streaming</t>
        </is>
      </c>
      <c r="G73" s="10" t="n"/>
      <c r="H73" s="14">
        <f>IFERROR(INDEX(Initiatives!$B$2:$B$500,MATCH(A73,Initiatives!$A$2:$A$500,0)),"")</f>
        <v/>
      </c>
    </row>
    <row r="74">
      <c r="A74" s="10" t="inlineStr">
        <is>
          <t>Lunch &amp; Learn series (internal)</t>
        </is>
      </c>
      <c r="B74" s="12" t="n">
        <v>46140</v>
      </c>
      <c r="C74" s="11" t="n">
        <v>1100</v>
      </c>
      <c r="D74" s="10" t="inlineStr">
        <is>
          <t>events</t>
        </is>
      </c>
      <c r="E74" s="10" t="inlineStr">
        <is>
          <t>actual</t>
        </is>
      </c>
      <c r="F74" s="3" t="inlineStr">
        <is>
          <t>Catering and streaming</t>
        </is>
      </c>
      <c r="G74" s="10" t="n"/>
      <c r="H74" s="14">
        <f>IFERROR(INDEX(Initiatives!$B$2:$B$500,MATCH(A74,Initiatives!$A$2:$A$500,0)),"")</f>
        <v/>
      </c>
    </row>
    <row r="75">
      <c r="A75" s="10" t="inlineStr">
        <is>
          <t>Lunch &amp; Learn series (internal)</t>
        </is>
      </c>
      <c r="B75" s="12" t="n">
        <v>46170</v>
      </c>
      <c r="C75" s="11" t="n">
        <v>1100</v>
      </c>
      <c r="D75" s="10" t="inlineStr">
        <is>
          <t>events</t>
        </is>
      </c>
      <c r="E75" s="10" t="inlineStr">
        <is>
          <t>actual</t>
        </is>
      </c>
      <c r="F75" s="3" t="inlineStr">
        <is>
          <t>Catering and streaming</t>
        </is>
      </c>
      <c r="G75" s="10" t="n"/>
      <c r="H75" s="14">
        <f>IFERROR(INDEX(Initiatives!$B$2:$B$500,MATCH(A75,Initiatives!$A$2:$A$500,0)),"")</f>
        <v/>
      </c>
    </row>
    <row r="76">
      <c r="A76" s="10" t="inlineStr">
        <is>
          <t>Lunch &amp; Learn series (internal)</t>
        </is>
      </c>
      <c r="B76" s="12" t="n">
        <v>46201</v>
      </c>
      <c r="C76" s="11" t="n">
        <v>1100</v>
      </c>
      <c r="D76" s="10" t="inlineStr">
        <is>
          <t>events</t>
        </is>
      </c>
      <c r="E76" s="10" t="inlineStr">
        <is>
          <t>actual</t>
        </is>
      </c>
      <c r="F76" s="3" t="inlineStr">
        <is>
          <t>Catering and streaming</t>
        </is>
      </c>
      <c r="G76" s="10" t="n"/>
      <c r="H76" s="14">
        <f>IFERROR(INDEX(Initiatives!$B$2:$B$500,MATCH(A76,Initiatives!$A$2:$A$500,0)),"")</f>
        <v/>
      </c>
    </row>
    <row r="77">
      <c r="A77" s="10" t="inlineStr">
        <is>
          <t>Lunch &amp; Learn series (internal)</t>
        </is>
      </c>
      <c r="B77" s="12" t="n">
        <v>46231</v>
      </c>
      <c r="C77" s="11" t="n">
        <v>1100</v>
      </c>
      <c r="D77" s="10" t="inlineStr">
        <is>
          <t>events</t>
        </is>
      </c>
      <c r="E77" s="10" t="inlineStr">
        <is>
          <t>actual</t>
        </is>
      </c>
      <c r="F77" s="3" t="inlineStr">
        <is>
          <t>Catering and streaming</t>
        </is>
      </c>
      <c r="G77" s="10" t="n"/>
      <c r="H77" s="14">
        <f>IFERROR(INDEX(Initiatives!$B$2:$B$500,MATCH(A77,Initiatives!$A$2:$A$500,0)),"")</f>
        <v/>
      </c>
    </row>
    <row r="78">
      <c r="A78" s="10" t="inlineStr">
        <is>
          <t>Lunch &amp; Learn series (internal)</t>
        </is>
      </c>
      <c r="B78" s="12" t="n">
        <v>46262</v>
      </c>
      <c r="C78" s="11" t="n">
        <v>1100</v>
      </c>
      <c r="D78" s="10" t="inlineStr">
        <is>
          <t>events</t>
        </is>
      </c>
      <c r="E78" s="10" t="inlineStr">
        <is>
          <t>actual</t>
        </is>
      </c>
      <c r="F78" s="3" t="inlineStr">
        <is>
          <t>Catering and streaming</t>
        </is>
      </c>
      <c r="G78" s="10" t="n"/>
      <c r="H78" s="14">
        <f>IFERROR(INDEX(Initiatives!$B$2:$B$500,MATCH(A78,Initiatives!$A$2:$A$500,0)),"")</f>
        <v/>
      </c>
    </row>
    <row r="79">
      <c r="A79" s="10" t="inlineStr">
        <is>
          <t>Lunch &amp; Learn series (internal)</t>
        </is>
      </c>
      <c r="B79" s="12" t="n">
        <v>46293</v>
      </c>
      <c r="C79" s="11" t="n">
        <v>1100</v>
      </c>
      <c r="D79" s="10" t="inlineStr">
        <is>
          <t>events</t>
        </is>
      </c>
      <c r="E79" s="10" t="inlineStr">
        <is>
          <t>actual</t>
        </is>
      </c>
      <c r="F79" s="3" t="inlineStr">
        <is>
          <t>Catering and streaming</t>
        </is>
      </c>
      <c r="G79" s="10" t="n"/>
      <c r="H79" s="14">
        <f>IFERROR(INDEX(Initiatives!$B$2:$B$500,MATCH(A79,Initiatives!$A$2:$A$500,0)),"")</f>
        <v/>
      </c>
    </row>
    <row r="80">
      <c r="A80" s="10" t="inlineStr">
        <is>
          <t>Policy Engagement on Local News</t>
        </is>
      </c>
      <c r="B80" s="12" t="n">
        <v>46109</v>
      </c>
      <c r="C80" s="11" t="n">
        <v>1400</v>
      </c>
      <c r="D80" s="10" t="inlineStr">
        <is>
          <t>staff</t>
        </is>
      </c>
      <c r="E80" s="10" t="inlineStr">
        <is>
          <t>actual</t>
        </is>
      </c>
      <c r="F80" s="3" t="inlineStr">
        <is>
          <t>GAPP analyst (part)</t>
        </is>
      </c>
      <c r="G80" s="10" t="n"/>
      <c r="H80" s="14">
        <f>IFERROR(INDEX(Initiatives!$B$2:$B$500,MATCH(A80,Initiatives!$A$2:$A$500,0)),"")</f>
        <v/>
      </c>
    </row>
    <row r="81">
      <c r="A81" s="10" t="inlineStr">
        <is>
          <t>Policy Engagement on Local News</t>
        </is>
      </c>
      <c r="B81" s="12" t="n">
        <v>46140</v>
      </c>
      <c r="C81" s="11" t="n">
        <v>1400</v>
      </c>
      <c r="D81" s="10" t="inlineStr">
        <is>
          <t>staff</t>
        </is>
      </c>
      <c r="E81" s="10" t="inlineStr">
        <is>
          <t>actual</t>
        </is>
      </c>
      <c r="F81" s="3" t="inlineStr">
        <is>
          <t>GAPP analyst (part)</t>
        </is>
      </c>
      <c r="G81" s="10" t="n"/>
      <c r="H81" s="14">
        <f>IFERROR(INDEX(Initiatives!$B$2:$B$500,MATCH(A81,Initiatives!$A$2:$A$500,0)),"")</f>
        <v/>
      </c>
    </row>
    <row r="82">
      <c r="A82" s="10" t="inlineStr">
        <is>
          <t>Policy Engagement on Local News</t>
        </is>
      </c>
      <c r="B82" s="12" t="n">
        <v>46170</v>
      </c>
      <c r="C82" s="11" t="n">
        <v>1400</v>
      </c>
      <c r="D82" s="10" t="inlineStr">
        <is>
          <t>staff</t>
        </is>
      </c>
      <c r="E82" s="10" t="inlineStr">
        <is>
          <t>actual</t>
        </is>
      </c>
      <c r="F82" s="3" t="inlineStr">
        <is>
          <t>GAPP analyst (part)</t>
        </is>
      </c>
      <c r="G82" s="10" t="n"/>
      <c r="H82" s="14">
        <f>IFERROR(INDEX(Initiatives!$B$2:$B$500,MATCH(A82,Initiatives!$A$2:$A$500,0)),"")</f>
        <v/>
      </c>
    </row>
    <row r="83">
      <c r="A83" s="10" t="inlineStr">
        <is>
          <t>Policy Engagement on Local News</t>
        </is>
      </c>
      <c r="B83" s="12" t="n">
        <v>46201</v>
      </c>
      <c r="C83" s="11" t="n">
        <v>1400</v>
      </c>
      <c r="D83" s="10" t="inlineStr">
        <is>
          <t>staff</t>
        </is>
      </c>
      <c r="E83" s="10" t="inlineStr">
        <is>
          <t>actual</t>
        </is>
      </c>
      <c r="F83" s="3" t="inlineStr">
        <is>
          <t>GAPP analyst (part)</t>
        </is>
      </c>
      <c r="G83" s="10" t="n"/>
      <c r="H83" s="14">
        <f>IFERROR(INDEX(Initiatives!$B$2:$B$500,MATCH(A83,Initiatives!$A$2:$A$500,0)),"")</f>
        <v/>
      </c>
    </row>
    <row r="84">
      <c r="A84" s="10" t="inlineStr">
        <is>
          <t>Policy Engagement on Local News</t>
        </is>
      </c>
      <c r="B84" s="12" t="n">
        <v>46231</v>
      </c>
      <c r="C84" s="11" t="n">
        <v>1400</v>
      </c>
      <c r="D84" s="10" t="inlineStr">
        <is>
          <t>staff</t>
        </is>
      </c>
      <c r="E84" s="10" t="inlineStr">
        <is>
          <t>actual</t>
        </is>
      </c>
      <c r="F84" s="3" t="inlineStr">
        <is>
          <t>GAPP analyst (part)</t>
        </is>
      </c>
      <c r="G84" s="10" t="n"/>
      <c r="H84" s="14">
        <f>IFERROR(INDEX(Initiatives!$B$2:$B$500,MATCH(A84,Initiatives!$A$2:$A$500,0)),"")</f>
        <v/>
      </c>
    </row>
    <row r="85">
      <c r="A85" s="10" t="inlineStr">
        <is>
          <t>Policy Engagement on Local News</t>
        </is>
      </c>
      <c r="B85" s="12" t="n">
        <v>46262</v>
      </c>
      <c r="C85" s="11" t="n">
        <v>1400</v>
      </c>
      <c r="D85" s="10" t="inlineStr">
        <is>
          <t>staff</t>
        </is>
      </c>
      <c r="E85" s="10" t="inlineStr">
        <is>
          <t>actual</t>
        </is>
      </c>
      <c r="F85" s="3" t="inlineStr">
        <is>
          <t>GAPP analyst (part)</t>
        </is>
      </c>
      <c r="G85" s="10" t="n"/>
      <c r="H85" s="14">
        <f>IFERROR(INDEX(Initiatives!$B$2:$B$500,MATCH(A85,Initiatives!$A$2:$A$500,0)),"")</f>
        <v/>
      </c>
    </row>
    <row r="86">
      <c r="A86" s="10" t="inlineStr">
        <is>
          <t>Policy Engagement on Local News</t>
        </is>
      </c>
      <c r="B86" s="12" t="n">
        <v>46293</v>
      </c>
      <c r="C86" s="11" t="n">
        <v>1400</v>
      </c>
      <c r="D86" s="10" t="inlineStr">
        <is>
          <t>staff</t>
        </is>
      </c>
      <c r="E86" s="10" t="inlineStr">
        <is>
          <t>actual</t>
        </is>
      </c>
      <c r="F86" s="3" t="inlineStr">
        <is>
          <t>GAPP analyst (part)</t>
        </is>
      </c>
      <c r="G86" s="10" t="n"/>
      <c r="H86" s="14">
        <f>IFERROR(INDEX(Initiatives!$B$2:$B$500,MATCH(A86,Initiatives!$A$2:$A$500,0)),"")</f>
        <v/>
      </c>
    </row>
    <row r="87">
      <c r="A87" s="10" t="inlineStr">
        <is>
          <t>Policy Engagement on Local News</t>
        </is>
      </c>
      <c r="B87" s="12" t="n">
        <v>46170</v>
      </c>
      <c r="C87" s="11" t="n">
        <v>2000</v>
      </c>
      <c r="D87" s="10" t="inlineStr">
        <is>
          <t>travel</t>
        </is>
      </c>
      <c r="E87" s="10" t="inlineStr">
        <is>
          <t>actual</t>
        </is>
      </c>
      <c r="F87" s="3" t="inlineStr">
        <is>
          <t>Roundtable travel</t>
        </is>
      </c>
      <c r="G87" s="10" t="n"/>
      <c r="H87" s="14">
        <f>IFERROR(INDEX(Initiatives!$B$2:$B$500,MATCH(A87,Initiatives!$A$2:$A$500,0)),"")</f>
        <v/>
      </c>
    </row>
    <row r="88">
      <c r="A88" s="10" t="inlineStr">
        <is>
          <t>Policy Engagement on Local News</t>
        </is>
      </c>
      <c r="B88" s="12" t="n">
        <v>46231</v>
      </c>
      <c r="C88" s="11" t="n">
        <v>2200</v>
      </c>
      <c r="D88" s="10" t="inlineStr">
        <is>
          <t>events</t>
        </is>
      </c>
      <c r="E88" s="10" t="inlineStr">
        <is>
          <t>actual</t>
        </is>
      </c>
      <c r="F88" s="3" t="inlineStr">
        <is>
          <t>Newsroom roundtable with officials</t>
        </is>
      </c>
      <c r="G88" s="10" t="n"/>
      <c r="H88" s="14">
        <f>IFERROR(INDEX(Initiatives!$B$2:$B$500,MATCH(A88,Initiatives!$A$2:$A$500,0)),"")</f>
        <v/>
      </c>
    </row>
    <row r="89">
      <c r="A89" s="10" t="inlineStr">
        <is>
          <t>Policy Engagement on Local News</t>
        </is>
      </c>
      <c r="B89" s="12" t="n">
        <v>46293</v>
      </c>
      <c r="C89" s="11" t="n">
        <v>2000</v>
      </c>
      <c r="D89" s="10" t="inlineStr">
        <is>
          <t>travel</t>
        </is>
      </c>
      <c r="E89" s="10" t="inlineStr">
        <is>
          <t>actual</t>
        </is>
      </c>
      <c r="F89" s="3" t="inlineStr">
        <is>
          <t>Capital visits</t>
        </is>
      </c>
      <c r="G89" s="10" t="n"/>
      <c r="H89" s="14">
        <f>IFERROR(INDEX(Initiatives!$B$2:$B$500,MATCH(A89,Initiatives!$A$2:$A$500,0)),"")</f>
        <v/>
      </c>
    </row>
    <row r="90">
      <c r="H90" s="14">
        <f>IFERROR(INDEX(Initiatives!$B$2:$B$500,MATCH(A90,Initiatives!$A$2:$A$500,0)),"")</f>
        <v/>
      </c>
    </row>
    <row r="91">
      <c r="H91" s="14">
        <f>IFERROR(INDEX(Initiatives!$B$2:$B$500,MATCH(A91,Initiatives!$A$2:$A$500,0)),"")</f>
        <v/>
      </c>
    </row>
    <row r="92">
      <c r="H92" s="14">
        <f>IFERROR(INDEX(Initiatives!$B$2:$B$500,MATCH(A92,Initiatives!$A$2:$A$500,0)),"")</f>
        <v/>
      </c>
    </row>
    <row r="93">
      <c r="H93" s="14">
        <f>IFERROR(INDEX(Initiatives!$B$2:$B$500,MATCH(A93,Initiatives!$A$2:$A$500,0)),"")</f>
        <v/>
      </c>
    </row>
    <row r="94">
      <c r="H94" s="14">
        <f>IFERROR(INDEX(Initiatives!$B$2:$B$500,MATCH(A94,Initiatives!$A$2:$A$500,0)),"")</f>
        <v/>
      </c>
    </row>
    <row r="95">
      <c r="H95" s="14">
        <f>IFERROR(INDEX(Initiatives!$B$2:$B$500,MATCH(A95,Initiatives!$A$2:$A$500,0)),"")</f>
        <v/>
      </c>
    </row>
    <row r="96">
      <c r="H96" s="14">
        <f>IFERROR(INDEX(Initiatives!$B$2:$B$500,MATCH(A96,Initiatives!$A$2:$A$500,0)),"")</f>
        <v/>
      </c>
    </row>
    <row r="97">
      <c r="H97" s="14">
        <f>IFERROR(INDEX(Initiatives!$B$2:$B$500,MATCH(A97,Initiatives!$A$2:$A$500,0)),"")</f>
        <v/>
      </c>
    </row>
    <row r="98">
      <c r="H98" s="14">
        <f>IFERROR(INDEX(Initiatives!$B$2:$B$500,MATCH(A98,Initiatives!$A$2:$A$500,0)),"")</f>
        <v/>
      </c>
    </row>
    <row r="99">
      <c r="H99" s="14">
        <f>IFERROR(INDEX(Initiatives!$B$2:$B$500,MATCH(A99,Initiatives!$A$2:$A$500,0)),"")</f>
        <v/>
      </c>
    </row>
    <row r="100">
      <c r="H100" s="14">
        <f>IFERROR(INDEX(Initiatives!$B$2:$B$500,MATCH(A100,Initiatives!$A$2:$A$500,0)),"")</f>
        <v/>
      </c>
    </row>
    <row r="101">
      <c r="H101" s="14">
        <f>IFERROR(INDEX(Initiatives!$B$2:$B$500,MATCH(A101,Initiatives!$A$2:$A$500,0)),"")</f>
        <v/>
      </c>
    </row>
    <row r="102">
      <c r="H102" s="14">
        <f>IFERROR(INDEX(Initiatives!$B$2:$B$500,MATCH(A102,Initiatives!$A$2:$A$500,0)),"")</f>
        <v/>
      </c>
    </row>
    <row r="103">
      <c r="H103" s="14">
        <f>IFERROR(INDEX(Initiatives!$B$2:$B$500,MATCH(A103,Initiatives!$A$2:$A$500,0)),"")</f>
        <v/>
      </c>
    </row>
    <row r="104">
      <c r="H104" s="14">
        <f>IFERROR(INDEX(Initiatives!$B$2:$B$500,MATCH(A104,Initiatives!$A$2:$A$500,0)),"")</f>
        <v/>
      </c>
    </row>
    <row r="105">
      <c r="H105" s="14">
        <f>IFERROR(INDEX(Initiatives!$B$2:$B$500,MATCH(A105,Initiatives!$A$2:$A$500,0)),"")</f>
        <v/>
      </c>
    </row>
    <row r="106">
      <c r="H106" s="14">
        <f>IFERROR(INDEX(Initiatives!$B$2:$B$500,MATCH(A106,Initiatives!$A$2:$A$500,0)),"")</f>
        <v/>
      </c>
    </row>
    <row r="107">
      <c r="H107" s="14">
        <f>IFERROR(INDEX(Initiatives!$B$2:$B$500,MATCH(A107,Initiatives!$A$2:$A$500,0)),"")</f>
        <v/>
      </c>
    </row>
    <row r="108">
      <c r="H108" s="14">
        <f>IFERROR(INDEX(Initiatives!$B$2:$B$500,MATCH(A108,Initiatives!$A$2:$A$500,0)),"")</f>
        <v/>
      </c>
    </row>
    <row r="109">
      <c r="H109" s="14">
        <f>IFERROR(INDEX(Initiatives!$B$2:$B$500,MATCH(A109,Initiatives!$A$2:$A$500,0)),"")</f>
        <v/>
      </c>
    </row>
    <row r="110">
      <c r="H110" s="14">
        <f>IFERROR(INDEX(Initiatives!$B$2:$B$500,MATCH(A110,Initiatives!$A$2:$A$500,0)),"")</f>
        <v/>
      </c>
    </row>
    <row r="111">
      <c r="H111" s="14">
        <f>IFERROR(INDEX(Initiatives!$B$2:$B$500,MATCH(A111,Initiatives!$A$2:$A$500,0)),"")</f>
        <v/>
      </c>
    </row>
    <row r="112">
      <c r="H112" s="14">
        <f>IFERROR(INDEX(Initiatives!$B$2:$B$500,MATCH(A112,Initiatives!$A$2:$A$500,0)),"")</f>
        <v/>
      </c>
    </row>
    <row r="113">
      <c r="H113" s="14">
        <f>IFERROR(INDEX(Initiatives!$B$2:$B$500,MATCH(A113,Initiatives!$A$2:$A$500,0)),"")</f>
        <v/>
      </c>
    </row>
    <row r="114">
      <c r="H114" s="14">
        <f>IFERROR(INDEX(Initiatives!$B$2:$B$500,MATCH(A114,Initiatives!$A$2:$A$500,0)),"")</f>
        <v/>
      </c>
    </row>
    <row r="115">
      <c r="H115" s="14">
        <f>IFERROR(INDEX(Initiatives!$B$2:$B$500,MATCH(A115,Initiatives!$A$2:$A$500,0)),"")</f>
        <v/>
      </c>
    </row>
    <row r="116">
      <c r="H116" s="14">
        <f>IFERROR(INDEX(Initiatives!$B$2:$B$500,MATCH(A116,Initiatives!$A$2:$A$500,0)),"")</f>
        <v/>
      </c>
    </row>
    <row r="117">
      <c r="H117" s="14">
        <f>IFERROR(INDEX(Initiatives!$B$2:$B$500,MATCH(A117,Initiatives!$A$2:$A$500,0)),"")</f>
        <v/>
      </c>
    </row>
    <row r="118">
      <c r="H118" s="14">
        <f>IFERROR(INDEX(Initiatives!$B$2:$B$500,MATCH(A118,Initiatives!$A$2:$A$500,0)),"")</f>
        <v/>
      </c>
    </row>
    <row r="119">
      <c r="H119" s="14">
        <f>IFERROR(INDEX(Initiatives!$B$2:$B$500,MATCH(A119,Initiatives!$A$2:$A$500,0)),"")</f>
        <v/>
      </c>
    </row>
    <row r="120">
      <c r="H120" s="14">
        <f>IFERROR(INDEX(Initiatives!$B$2:$B$500,MATCH(A120,Initiatives!$A$2:$A$500,0)),"")</f>
        <v/>
      </c>
    </row>
    <row r="121">
      <c r="H121" s="14">
        <f>IFERROR(INDEX(Initiatives!$B$2:$B$500,MATCH(A121,Initiatives!$A$2:$A$500,0)),"")</f>
        <v/>
      </c>
    </row>
    <row r="122">
      <c r="H122" s="14">
        <f>IFERROR(INDEX(Initiatives!$B$2:$B$500,MATCH(A122,Initiatives!$A$2:$A$500,0)),"")</f>
        <v/>
      </c>
    </row>
    <row r="123">
      <c r="H123" s="14">
        <f>IFERROR(INDEX(Initiatives!$B$2:$B$500,MATCH(A123,Initiatives!$A$2:$A$500,0)),"")</f>
        <v/>
      </c>
    </row>
    <row r="124">
      <c r="H124" s="14">
        <f>IFERROR(INDEX(Initiatives!$B$2:$B$500,MATCH(A124,Initiatives!$A$2:$A$500,0)),"")</f>
        <v/>
      </c>
    </row>
    <row r="125">
      <c r="H125" s="14">
        <f>IFERROR(INDEX(Initiatives!$B$2:$B$500,MATCH(A125,Initiatives!$A$2:$A$500,0)),"")</f>
        <v/>
      </c>
    </row>
    <row r="126">
      <c r="H126" s="14">
        <f>IFERROR(INDEX(Initiatives!$B$2:$B$500,MATCH(A126,Initiatives!$A$2:$A$500,0)),"")</f>
        <v/>
      </c>
    </row>
    <row r="127">
      <c r="H127" s="14">
        <f>IFERROR(INDEX(Initiatives!$B$2:$B$500,MATCH(A127,Initiatives!$A$2:$A$500,0)),"")</f>
        <v/>
      </c>
    </row>
    <row r="128">
      <c r="H128" s="14">
        <f>IFERROR(INDEX(Initiatives!$B$2:$B$500,MATCH(A128,Initiatives!$A$2:$A$500,0)),"")</f>
        <v/>
      </c>
    </row>
    <row r="129">
      <c r="H129" s="14">
        <f>IFERROR(INDEX(Initiatives!$B$2:$B$500,MATCH(A129,Initiatives!$A$2:$A$500,0)),"")</f>
        <v/>
      </c>
    </row>
    <row r="130">
      <c r="H130" s="14">
        <f>IFERROR(INDEX(Initiatives!$B$2:$B$500,MATCH(A130,Initiatives!$A$2:$A$500,0)),"")</f>
        <v/>
      </c>
    </row>
    <row r="131">
      <c r="H131" s="14">
        <f>IFERROR(INDEX(Initiatives!$B$2:$B$500,MATCH(A131,Initiatives!$A$2:$A$500,0)),"")</f>
        <v/>
      </c>
    </row>
    <row r="132">
      <c r="H132" s="14">
        <f>IFERROR(INDEX(Initiatives!$B$2:$B$500,MATCH(A132,Initiatives!$A$2:$A$500,0)),"")</f>
        <v/>
      </c>
    </row>
    <row r="133">
      <c r="H133" s="14">
        <f>IFERROR(INDEX(Initiatives!$B$2:$B$500,MATCH(A133,Initiatives!$A$2:$A$500,0)),"")</f>
        <v/>
      </c>
    </row>
    <row r="134">
      <c r="H134" s="14">
        <f>IFERROR(INDEX(Initiatives!$B$2:$B$500,MATCH(A134,Initiatives!$A$2:$A$500,0)),"")</f>
        <v/>
      </c>
    </row>
    <row r="135">
      <c r="H135" s="14">
        <f>IFERROR(INDEX(Initiatives!$B$2:$B$500,MATCH(A135,Initiatives!$A$2:$A$500,0)),"")</f>
        <v/>
      </c>
    </row>
    <row r="136">
      <c r="H136" s="14">
        <f>IFERROR(INDEX(Initiatives!$B$2:$B$500,MATCH(A136,Initiatives!$A$2:$A$500,0)),"")</f>
        <v/>
      </c>
    </row>
    <row r="137">
      <c r="H137" s="14">
        <f>IFERROR(INDEX(Initiatives!$B$2:$B$500,MATCH(A137,Initiatives!$A$2:$A$500,0)),"")</f>
        <v/>
      </c>
    </row>
    <row r="138">
      <c r="H138" s="14">
        <f>IFERROR(INDEX(Initiatives!$B$2:$B$500,MATCH(A138,Initiatives!$A$2:$A$500,0)),"")</f>
        <v/>
      </c>
    </row>
    <row r="139">
      <c r="H139" s="14">
        <f>IFERROR(INDEX(Initiatives!$B$2:$B$500,MATCH(A139,Initiatives!$A$2:$A$500,0)),"")</f>
        <v/>
      </c>
    </row>
    <row r="140">
      <c r="H140" s="14">
        <f>IFERROR(INDEX(Initiatives!$B$2:$B$500,MATCH(A140,Initiatives!$A$2:$A$500,0)),"")</f>
        <v/>
      </c>
    </row>
    <row r="141">
      <c r="H141" s="14">
        <f>IFERROR(INDEX(Initiatives!$B$2:$B$500,MATCH(A141,Initiatives!$A$2:$A$500,0)),"")</f>
        <v/>
      </c>
    </row>
    <row r="142">
      <c r="H142" s="14">
        <f>IFERROR(INDEX(Initiatives!$B$2:$B$500,MATCH(A142,Initiatives!$A$2:$A$500,0)),"")</f>
        <v/>
      </c>
    </row>
    <row r="143">
      <c r="H143" s="14">
        <f>IFERROR(INDEX(Initiatives!$B$2:$B$500,MATCH(A143,Initiatives!$A$2:$A$500,0)),"")</f>
        <v/>
      </c>
    </row>
    <row r="144">
      <c r="H144" s="14">
        <f>IFERROR(INDEX(Initiatives!$B$2:$B$500,MATCH(A144,Initiatives!$A$2:$A$500,0)),"")</f>
        <v/>
      </c>
    </row>
    <row r="145">
      <c r="H145" s="14">
        <f>IFERROR(INDEX(Initiatives!$B$2:$B$500,MATCH(A145,Initiatives!$A$2:$A$500,0)),"")</f>
        <v/>
      </c>
    </row>
    <row r="146">
      <c r="H146" s="14">
        <f>IFERROR(INDEX(Initiatives!$B$2:$B$500,MATCH(A146,Initiatives!$A$2:$A$500,0)),"")</f>
        <v/>
      </c>
    </row>
    <row r="147">
      <c r="H147" s="14">
        <f>IFERROR(INDEX(Initiatives!$B$2:$B$500,MATCH(A147,Initiatives!$A$2:$A$500,0)),"")</f>
        <v/>
      </c>
    </row>
    <row r="148">
      <c r="H148" s="14">
        <f>IFERROR(INDEX(Initiatives!$B$2:$B$500,MATCH(A148,Initiatives!$A$2:$A$500,0)),"")</f>
        <v/>
      </c>
    </row>
    <row r="149">
      <c r="H149" s="14">
        <f>IFERROR(INDEX(Initiatives!$B$2:$B$500,MATCH(A149,Initiatives!$A$2:$A$500,0)),"")</f>
        <v/>
      </c>
    </row>
    <row r="150">
      <c r="H150" s="14">
        <f>IFERROR(INDEX(Initiatives!$B$2:$B$500,MATCH(A150,Initiatives!$A$2:$A$500,0)),"")</f>
        <v/>
      </c>
    </row>
    <row r="151">
      <c r="H151" s="14">
        <f>IFERROR(INDEX(Initiatives!$B$2:$B$500,MATCH(A151,Initiatives!$A$2:$A$500,0)),"")</f>
        <v/>
      </c>
    </row>
    <row r="152">
      <c r="H152" s="14">
        <f>IFERROR(INDEX(Initiatives!$B$2:$B$500,MATCH(A152,Initiatives!$A$2:$A$500,0)),"")</f>
        <v/>
      </c>
    </row>
    <row r="153">
      <c r="H153" s="14">
        <f>IFERROR(INDEX(Initiatives!$B$2:$B$500,MATCH(A153,Initiatives!$A$2:$A$500,0)),"")</f>
        <v/>
      </c>
    </row>
    <row r="154">
      <c r="H154" s="14">
        <f>IFERROR(INDEX(Initiatives!$B$2:$B$500,MATCH(A154,Initiatives!$A$2:$A$500,0)),"")</f>
        <v/>
      </c>
    </row>
    <row r="155">
      <c r="H155" s="14">
        <f>IFERROR(INDEX(Initiatives!$B$2:$B$500,MATCH(A155,Initiatives!$A$2:$A$500,0)),"")</f>
        <v/>
      </c>
    </row>
    <row r="156">
      <c r="H156" s="14">
        <f>IFERROR(INDEX(Initiatives!$B$2:$B$500,MATCH(A156,Initiatives!$A$2:$A$500,0)),"")</f>
        <v/>
      </c>
    </row>
    <row r="157">
      <c r="H157" s="14">
        <f>IFERROR(INDEX(Initiatives!$B$2:$B$500,MATCH(A157,Initiatives!$A$2:$A$500,0)),"")</f>
        <v/>
      </c>
    </row>
    <row r="158">
      <c r="H158" s="14">
        <f>IFERROR(INDEX(Initiatives!$B$2:$B$500,MATCH(A158,Initiatives!$A$2:$A$500,0)),"")</f>
        <v/>
      </c>
    </row>
    <row r="159">
      <c r="H159" s="14">
        <f>IFERROR(INDEX(Initiatives!$B$2:$B$500,MATCH(A159,Initiatives!$A$2:$A$500,0)),"")</f>
        <v/>
      </c>
    </row>
    <row r="160">
      <c r="H160" s="14">
        <f>IFERROR(INDEX(Initiatives!$B$2:$B$500,MATCH(A160,Initiatives!$A$2:$A$500,0)),"")</f>
        <v/>
      </c>
    </row>
    <row r="161">
      <c r="H161" s="14">
        <f>IFERROR(INDEX(Initiatives!$B$2:$B$500,MATCH(A161,Initiatives!$A$2:$A$500,0)),"")</f>
        <v/>
      </c>
    </row>
    <row r="162">
      <c r="H162" s="14">
        <f>IFERROR(INDEX(Initiatives!$B$2:$B$500,MATCH(A162,Initiatives!$A$2:$A$500,0)),"")</f>
        <v/>
      </c>
    </row>
    <row r="163">
      <c r="H163" s="14">
        <f>IFERROR(INDEX(Initiatives!$B$2:$B$500,MATCH(A163,Initiatives!$A$2:$A$500,0)),"")</f>
        <v/>
      </c>
    </row>
    <row r="164">
      <c r="H164" s="14">
        <f>IFERROR(INDEX(Initiatives!$B$2:$B$500,MATCH(A164,Initiatives!$A$2:$A$500,0)),"")</f>
        <v/>
      </c>
    </row>
    <row r="165">
      <c r="H165" s="14">
        <f>IFERROR(INDEX(Initiatives!$B$2:$B$500,MATCH(A165,Initiatives!$A$2:$A$500,0)),"")</f>
        <v/>
      </c>
    </row>
    <row r="166">
      <c r="H166" s="14">
        <f>IFERROR(INDEX(Initiatives!$B$2:$B$500,MATCH(A166,Initiatives!$A$2:$A$500,0)),"")</f>
        <v/>
      </c>
    </row>
    <row r="167">
      <c r="H167" s="14">
        <f>IFERROR(INDEX(Initiatives!$B$2:$B$500,MATCH(A167,Initiatives!$A$2:$A$500,0)),"")</f>
        <v/>
      </c>
    </row>
    <row r="168">
      <c r="H168" s="14">
        <f>IFERROR(INDEX(Initiatives!$B$2:$B$500,MATCH(A168,Initiatives!$A$2:$A$500,0)),"")</f>
        <v/>
      </c>
    </row>
    <row r="169">
      <c r="H169" s="14">
        <f>IFERROR(INDEX(Initiatives!$B$2:$B$500,MATCH(A169,Initiatives!$A$2:$A$500,0)),"")</f>
        <v/>
      </c>
    </row>
    <row r="170">
      <c r="H170" s="14">
        <f>IFERROR(INDEX(Initiatives!$B$2:$B$500,MATCH(A170,Initiatives!$A$2:$A$500,0)),"")</f>
        <v/>
      </c>
    </row>
    <row r="171">
      <c r="H171" s="14">
        <f>IFERROR(INDEX(Initiatives!$B$2:$B$500,MATCH(A171,Initiatives!$A$2:$A$500,0)),"")</f>
        <v/>
      </c>
    </row>
    <row r="172">
      <c r="H172" s="14">
        <f>IFERROR(INDEX(Initiatives!$B$2:$B$500,MATCH(A172,Initiatives!$A$2:$A$500,0)),"")</f>
        <v/>
      </c>
    </row>
    <row r="173">
      <c r="H173" s="14">
        <f>IFERROR(INDEX(Initiatives!$B$2:$B$500,MATCH(A173,Initiatives!$A$2:$A$500,0)),"")</f>
        <v/>
      </c>
    </row>
    <row r="174">
      <c r="H174" s="14">
        <f>IFERROR(INDEX(Initiatives!$B$2:$B$500,MATCH(A174,Initiatives!$A$2:$A$500,0)),"")</f>
        <v/>
      </c>
    </row>
    <row r="175">
      <c r="H175" s="14">
        <f>IFERROR(INDEX(Initiatives!$B$2:$B$500,MATCH(A175,Initiatives!$A$2:$A$500,0)),"")</f>
        <v/>
      </c>
    </row>
    <row r="176">
      <c r="H176" s="14">
        <f>IFERROR(INDEX(Initiatives!$B$2:$B$500,MATCH(A176,Initiatives!$A$2:$A$500,0)),"")</f>
        <v/>
      </c>
    </row>
    <row r="177">
      <c r="H177" s="14">
        <f>IFERROR(INDEX(Initiatives!$B$2:$B$500,MATCH(A177,Initiatives!$A$2:$A$500,0)),"")</f>
        <v/>
      </c>
    </row>
    <row r="178">
      <c r="H178" s="14">
        <f>IFERROR(INDEX(Initiatives!$B$2:$B$500,MATCH(A178,Initiatives!$A$2:$A$500,0)),"")</f>
        <v/>
      </c>
    </row>
    <row r="179">
      <c r="H179" s="14">
        <f>IFERROR(INDEX(Initiatives!$B$2:$B$500,MATCH(A179,Initiatives!$A$2:$A$500,0)),"")</f>
        <v/>
      </c>
    </row>
    <row r="180">
      <c r="H180" s="14">
        <f>IFERROR(INDEX(Initiatives!$B$2:$B$500,MATCH(A180,Initiatives!$A$2:$A$500,0)),"")</f>
        <v/>
      </c>
    </row>
    <row r="181">
      <c r="H181" s="14">
        <f>IFERROR(INDEX(Initiatives!$B$2:$B$500,MATCH(A181,Initiatives!$A$2:$A$500,0)),"")</f>
        <v/>
      </c>
    </row>
    <row r="182">
      <c r="H182" s="14">
        <f>IFERROR(INDEX(Initiatives!$B$2:$B$500,MATCH(A182,Initiatives!$A$2:$A$500,0)),"")</f>
        <v/>
      </c>
    </row>
    <row r="183">
      <c r="H183" s="14">
        <f>IFERROR(INDEX(Initiatives!$B$2:$B$500,MATCH(A183,Initiatives!$A$2:$A$500,0)),"")</f>
        <v/>
      </c>
    </row>
    <row r="184">
      <c r="H184" s="14">
        <f>IFERROR(INDEX(Initiatives!$B$2:$B$500,MATCH(A184,Initiatives!$A$2:$A$500,0)),"")</f>
        <v/>
      </c>
    </row>
    <row r="185">
      <c r="H185" s="14">
        <f>IFERROR(INDEX(Initiatives!$B$2:$B$500,MATCH(A185,Initiatives!$A$2:$A$500,0)),"")</f>
        <v/>
      </c>
    </row>
    <row r="186">
      <c r="H186" s="14">
        <f>IFERROR(INDEX(Initiatives!$B$2:$B$500,MATCH(A186,Initiatives!$A$2:$A$500,0)),"")</f>
        <v/>
      </c>
    </row>
    <row r="187">
      <c r="H187" s="14">
        <f>IFERROR(INDEX(Initiatives!$B$2:$B$500,MATCH(A187,Initiatives!$A$2:$A$500,0)),"")</f>
        <v/>
      </c>
    </row>
    <row r="188">
      <c r="H188" s="14">
        <f>IFERROR(INDEX(Initiatives!$B$2:$B$500,MATCH(A188,Initiatives!$A$2:$A$500,0)),"")</f>
        <v/>
      </c>
    </row>
    <row r="189">
      <c r="H189" s="14">
        <f>IFERROR(INDEX(Initiatives!$B$2:$B$500,MATCH(A189,Initiatives!$A$2:$A$500,0)),"")</f>
        <v/>
      </c>
    </row>
    <row r="190">
      <c r="H190" s="14">
        <f>IFERROR(INDEX(Initiatives!$B$2:$B$500,MATCH(A190,Initiatives!$A$2:$A$500,0)),"")</f>
        <v/>
      </c>
    </row>
    <row r="191">
      <c r="H191" s="14">
        <f>IFERROR(INDEX(Initiatives!$B$2:$B$500,MATCH(A191,Initiatives!$A$2:$A$500,0)),"")</f>
        <v/>
      </c>
    </row>
    <row r="192">
      <c r="H192" s="14">
        <f>IFERROR(INDEX(Initiatives!$B$2:$B$500,MATCH(A192,Initiatives!$A$2:$A$500,0)),"")</f>
        <v/>
      </c>
    </row>
    <row r="193">
      <c r="H193" s="14">
        <f>IFERROR(INDEX(Initiatives!$B$2:$B$500,MATCH(A193,Initiatives!$A$2:$A$500,0)),"")</f>
        <v/>
      </c>
    </row>
    <row r="194">
      <c r="H194" s="14">
        <f>IFERROR(INDEX(Initiatives!$B$2:$B$500,MATCH(A194,Initiatives!$A$2:$A$500,0)),"")</f>
        <v/>
      </c>
    </row>
    <row r="195">
      <c r="H195" s="14">
        <f>IFERROR(INDEX(Initiatives!$B$2:$B$500,MATCH(A195,Initiatives!$A$2:$A$500,0)),"")</f>
        <v/>
      </c>
    </row>
    <row r="196">
      <c r="H196" s="14">
        <f>IFERROR(INDEX(Initiatives!$B$2:$B$500,MATCH(A196,Initiatives!$A$2:$A$500,0)),"")</f>
        <v/>
      </c>
    </row>
    <row r="197">
      <c r="H197" s="14">
        <f>IFERROR(INDEX(Initiatives!$B$2:$B$500,MATCH(A197,Initiatives!$A$2:$A$500,0)),"")</f>
        <v/>
      </c>
    </row>
    <row r="198">
      <c r="H198" s="14">
        <f>IFERROR(INDEX(Initiatives!$B$2:$B$500,MATCH(A198,Initiatives!$A$2:$A$500,0)),"")</f>
        <v/>
      </c>
    </row>
    <row r="199">
      <c r="H199" s="14">
        <f>IFERROR(INDEX(Initiatives!$B$2:$B$500,MATCH(A199,Initiatives!$A$2:$A$500,0)),"")</f>
        <v/>
      </c>
    </row>
    <row r="200">
      <c r="H200" s="14">
        <f>IFERROR(INDEX(Initiatives!$B$2:$B$500,MATCH(A200,Initiatives!$A$2:$A$500,0)),"")</f>
        <v/>
      </c>
    </row>
    <row r="201">
      <c r="H201" s="14">
        <f>IFERROR(INDEX(Initiatives!$B$2:$B$500,MATCH(A201,Initiatives!$A$2:$A$500,0)),"")</f>
        <v/>
      </c>
    </row>
    <row r="202">
      <c r="H202" s="14">
        <f>IFERROR(INDEX(Initiatives!$B$2:$B$500,MATCH(A202,Initiatives!$A$2:$A$500,0)),"")</f>
        <v/>
      </c>
    </row>
    <row r="203">
      <c r="H203" s="14">
        <f>IFERROR(INDEX(Initiatives!$B$2:$B$500,MATCH(A203,Initiatives!$A$2:$A$500,0)),"")</f>
        <v/>
      </c>
    </row>
    <row r="204">
      <c r="H204" s="14">
        <f>IFERROR(INDEX(Initiatives!$B$2:$B$500,MATCH(A204,Initiatives!$A$2:$A$500,0)),"")</f>
        <v/>
      </c>
    </row>
    <row r="205">
      <c r="H205" s="14">
        <f>IFERROR(INDEX(Initiatives!$B$2:$B$500,MATCH(A205,Initiatives!$A$2:$A$500,0)),"")</f>
        <v/>
      </c>
    </row>
    <row r="206">
      <c r="H206" s="14">
        <f>IFERROR(INDEX(Initiatives!$B$2:$B$500,MATCH(A206,Initiatives!$A$2:$A$500,0)),"")</f>
        <v/>
      </c>
    </row>
    <row r="207">
      <c r="H207" s="14">
        <f>IFERROR(INDEX(Initiatives!$B$2:$B$500,MATCH(A207,Initiatives!$A$2:$A$500,0)),"")</f>
        <v/>
      </c>
    </row>
    <row r="208">
      <c r="H208" s="14">
        <f>IFERROR(INDEX(Initiatives!$B$2:$B$500,MATCH(A208,Initiatives!$A$2:$A$500,0)),"")</f>
        <v/>
      </c>
    </row>
    <row r="209">
      <c r="H209" s="14">
        <f>IFERROR(INDEX(Initiatives!$B$2:$B$500,MATCH(A209,Initiatives!$A$2:$A$500,0)),"")</f>
        <v/>
      </c>
    </row>
    <row r="210">
      <c r="H210" s="14">
        <f>IFERROR(INDEX(Initiatives!$B$2:$B$500,MATCH(A210,Initiatives!$A$2:$A$500,0)),"")</f>
        <v/>
      </c>
    </row>
    <row r="211">
      <c r="H211" s="14">
        <f>IFERROR(INDEX(Initiatives!$B$2:$B$500,MATCH(A211,Initiatives!$A$2:$A$500,0)),"")</f>
        <v/>
      </c>
    </row>
    <row r="212">
      <c r="H212" s="14">
        <f>IFERROR(INDEX(Initiatives!$B$2:$B$500,MATCH(A212,Initiatives!$A$2:$A$500,0)),"")</f>
        <v/>
      </c>
    </row>
    <row r="213">
      <c r="H213" s="14">
        <f>IFERROR(INDEX(Initiatives!$B$2:$B$500,MATCH(A213,Initiatives!$A$2:$A$500,0)),"")</f>
        <v/>
      </c>
    </row>
    <row r="214">
      <c r="H214" s="14">
        <f>IFERROR(INDEX(Initiatives!$B$2:$B$500,MATCH(A214,Initiatives!$A$2:$A$500,0)),"")</f>
        <v/>
      </c>
    </row>
    <row r="215">
      <c r="H215" s="14">
        <f>IFERROR(INDEX(Initiatives!$B$2:$B$500,MATCH(A215,Initiatives!$A$2:$A$500,0)),"")</f>
        <v/>
      </c>
    </row>
    <row r="216">
      <c r="H216" s="14">
        <f>IFERROR(INDEX(Initiatives!$B$2:$B$500,MATCH(A216,Initiatives!$A$2:$A$500,0)),"")</f>
        <v/>
      </c>
    </row>
    <row r="217">
      <c r="H217" s="14">
        <f>IFERROR(INDEX(Initiatives!$B$2:$B$500,MATCH(A217,Initiatives!$A$2:$A$500,0)),"")</f>
        <v/>
      </c>
    </row>
    <row r="218">
      <c r="H218" s="14">
        <f>IFERROR(INDEX(Initiatives!$B$2:$B$500,MATCH(A218,Initiatives!$A$2:$A$500,0)),"")</f>
        <v/>
      </c>
    </row>
    <row r="219">
      <c r="H219" s="14">
        <f>IFERROR(INDEX(Initiatives!$B$2:$B$500,MATCH(A219,Initiatives!$A$2:$A$500,0)),"")</f>
        <v/>
      </c>
    </row>
    <row r="220">
      <c r="H220" s="14">
        <f>IFERROR(INDEX(Initiatives!$B$2:$B$500,MATCH(A220,Initiatives!$A$2:$A$500,0)),"")</f>
        <v/>
      </c>
    </row>
    <row r="221">
      <c r="H221" s="14">
        <f>IFERROR(INDEX(Initiatives!$B$2:$B$500,MATCH(A221,Initiatives!$A$2:$A$500,0)),"")</f>
        <v/>
      </c>
    </row>
    <row r="222">
      <c r="H222" s="14">
        <f>IFERROR(INDEX(Initiatives!$B$2:$B$500,MATCH(A222,Initiatives!$A$2:$A$500,0)),"")</f>
        <v/>
      </c>
    </row>
    <row r="223">
      <c r="H223" s="14">
        <f>IFERROR(INDEX(Initiatives!$B$2:$B$500,MATCH(A223,Initiatives!$A$2:$A$500,0)),"")</f>
        <v/>
      </c>
    </row>
    <row r="224">
      <c r="H224" s="14">
        <f>IFERROR(INDEX(Initiatives!$B$2:$B$500,MATCH(A224,Initiatives!$A$2:$A$500,0)),"")</f>
        <v/>
      </c>
    </row>
    <row r="225">
      <c r="H225" s="14">
        <f>IFERROR(INDEX(Initiatives!$B$2:$B$500,MATCH(A225,Initiatives!$A$2:$A$500,0)),"")</f>
        <v/>
      </c>
    </row>
    <row r="226">
      <c r="H226" s="14">
        <f>IFERROR(INDEX(Initiatives!$B$2:$B$500,MATCH(A226,Initiatives!$A$2:$A$500,0)),"")</f>
        <v/>
      </c>
    </row>
    <row r="227">
      <c r="H227" s="14">
        <f>IFERROR(INDEX(Initiatives!$B$2:$B$500,MATCH(A227,Initiatives!$A$2:$A$500,0)),"")</f>
        <v/>
      </c>
    </row>
    <row r="228">
      <c r="H228" s="14">
        <f>IFERROR(INDEX(Initiatives!$B$2:$B$500,MATCH(A228,Initiatives!$A$2:$A$500,0)),"")</f>
        <v/>
      </c>
    </row>
    <row r="229">
      <c r="H229" s="14">
        <f>IFERROR(INDEX(Initiatives!$B$2:$B$500,MATCH(A229,Initiatives!$A$2:$A$500,0)),"")</f>
        <v/>
      </c>
    </row>
    <row r="230">
      <c r="H230" s="14">
        <f>IFERROR(INDEX(Initiatives!$B$2:$B$500,MATCH(A230,Initiatives!$A$2:$A$500,0)),"")</f>
        <v/>
      </c>
    </row>
    <row r="231">
      <c r="H231" s="14">
        <f>IFERROR(INDEX(Initiatives!$B$2:$B$500,MATCH(A231,Initiatives!$A$2:$A$500,0)),"")</f>
        <v/>
      </c>
    </row>
    <row r="232">
      <c r="H232" s="14">
        <f>IFERROR(INDEX(Initiatives!$B$2:$B$500,MATCH(A232,Initiatives!$A$2:$A$500,0)),"")</f>
        <v/>
      </c>
    </row>
    <row r="233">
      <c r="H233" s="14">
        <f>IFERROR(INDEX(Initiatives!$B$2:$B$500,MATCH(A233,Initiatives!$A$2:$A$500,0)),"")</f>
        <v/>
      </c>
    </row>
    <row r="234">
      <c r="H234" s="14">
        <f>IFERROR(INDEX(Initiatives!$B$2:$B$500,MATCH(A234,Initiatives!$A$2:$A$500,0)),"")</f>
        <v/>
      </c>
    </row>
    <row r="235">
      <c r="H235" s="14">
        <f>IFERROR(INDEX(Initiatives!$B$2:$B$500,MATCH(A235,Initiatives!$A$2:$A$500,0)),"")</f>
        <v/>
      </c>
    </row>
    <row r="236">
      <c r="H236" s="14">
        <f>IFERROR(INDEX(Initiatives!$B$2:$B$500,MATCH(A236,Initiatives!$A$2:$A$500,0)),"")</f>
        <v/>
      </c>
    </row>
    <row r="237">
      <c r="H237" s="14">
        <f>IFERROR(INDEX(Initiatives!$B$2:$B$500,MATCH(A237,Initiatives!$A$2:$A$500,0)),"")</f>
        <v/>
      </c>
    </row>
    <row r="238">
      <c r="H238" s="14">
        <f>IFERROR(INDEX(Initiatives!$B$2:$B$500,MATCH(A238,Initiatives!$A$2:$A$500,0)),"")</f>
        <v/>
      </c>
    </row>
    <row r="239">
      <c r="H239" s="14">
        <f>IFERROR(INDEX(Initiatives!$B$2:$B$500,MATCH(A239,Initiatives!$A$2:$A$500,0)),"")</f>
        <v/>
      </c>
    </row>
    <row r="240">
      <c r="H240" s="14">
        <f>IFERROR(INDEX(Initiatives!$B$2:$B$500,MATCH(A240,Initiatives!$A$2:$A$500,0)),"")</f>
        <v/>
      </c>
    </row>
    <row r="241">
      <c r="H241" s="14">
        <f>IFERROR(INDEX(Initiatives!$B$2:$B$500,MATCH(A241,Initiatives!$A$2:$A$500,0)),"")</f>
        <v/>
      </c>
    </row>
    <row r="242">
      <c r="H242" s="14">
        <f>IFERROR(INDEX(Initiatives!$B$2:$B$500,MATCH(A242,Initiatives!$A$2:$A$500,0)),"")</f>
        <v/>
      </c>
    </row>
    <row r="243">
      <c r="H243" s="14">
        <f>IFERROR(INDEX(Initiatives!$B$2:$B$500,MATCH(A243,Initiatives!$A$2:$A$500,0)),"")</f>
        <v/>
      </c>
    </row>
    <row r="244">
      <c r="H244" s="14">
        <f>IFERROR(INDEX(Initiatives!$B$2:$B$500,MATCH(A244,Initiatives!$A$2:$A$500,0)),"")</f>
        <v/>
      </c>
    </row>
    <row r="245">
      <c r="H245" s="14">
        <f>IFERROR(INDEX(Initiatives!$B$2:$B$500,MATCH(A245,Initiatives!$A$2:$A$500,0)),"")</f>
        <v/>
      </c>
    </row>
    <row r="246">
      <c r="H246" s="14">
        <f>IFERROR(INDEX(Initiatives!$B$2:$B$500,MATCH(A246,Initiatives!$A$2:$A$500,0)),"")</f>
        <v/>
      </c>
    </row>
    <row r="247">
      <c r="H247" s="14">
        <f>IFERROR(INDEX(Initiatives!$B$2:$B$500,MATCH(A247,Initiatives!$A$2:$A$500,0)),"")</f>
        <v/>
      </c>
    </row>
    <row r="248">
      <c r="H248" s="14">
        <f>IFERROR(INDEX(Initiatives!$B$2:$B$500,MATCH(A248,Initiatives!$A$2:$A$500,0)),"")</f>
        <v/>
      </c>
    </row>
    <row r="249">
      <c r="H249" s="14">
        <f>IFERROR(INDEX(Initiatives!$B$2:$B$500,MATCH(A249,Initiatives!$A$2:$A$500,0)),"")</f>
        <v/>
      </c>
    </row>
    <row r="250">
      <c r="H250" s="14">
        <f>IFERROR(INDEX(Initiatives!$B$2:$B$500,MATCH(A250,Initiatives!$A$2:$A$500,0)),"")</f>
        <v/>
      </c>
    </row>
    <row r="251">
      <c r="H251" s="14">
        <f>IFERROR(INDEX(Initiatives!$B$2:$B$500,MATCH(A251,Initiatives!$A$2:$A$500,0)),"")</f>
        <v/>
      </c>
    </row>
    <row r="252">
      <c r="H252" s="14">
        <f>IFERROR(INDEX(Initiatives!$B$2:$B$500,MATCH(A252,Initiatives!$A$2:$A$500,0)),"")</f>
        <v/>
      </c>
    </row>
    <row r="253">
      <c r="H253" s="14">
        <f>IFERROR(INDEX(Initiatives!$B$2:$B$500,MATCH(A253,Initiatives!$A$2:$A$500,0)),"")</f>
        <v/>
      </c>
    </row>
    <row r="254">
      <c r="H254" s="14">
        <f>IFERROR(INDEX(Initiatives!$B$2:$B$500,MATCH(A254,Initiatives!$A$2:$A$500,0)),"")</f>
        <v/>
      </c>
    </row>
    <row r="255">
      <c r="H255" s="14">
        <f>IFERROR(INDEX(Initiatives!$B$2:$B$500,MATCH(A255,Initiatives!$A$2:$A$500,0)),"")</f>
        <v/>
      </c>
    </row>
    <row r="256">
      <c r="H256" s="14">
        <f>IFERROR(INDEX(Initiatives!$B$2:$B$500,MATCH(A256,Initiatives!$A$2:$A$500,0)),"")</f>
        <v/>
      </c>
    </row>
    <row r="257">
      <c r="H257" s="14">
        <f>IFERROR(INDEX(Initiatives!$B$2:$B$500,MATCH(A257,Initiatives!$A$2:$A$500,0)),"")</f>
        <v/>
      </c>
    </row>
    <row r="258">
      <c r="H258" s="14">
        <f>IFERROR(INDEX(Initiatives!$B$2:$B$500,MATCH(A258,Initiatives!$A$2:$A$500,0)),"")</f>
        <v/>
      </c>
    </row>
    <row r="259">
      <c r="H259" s="14">
        <f>IFERROR(INDEX(Initiatives!$B$2:$B$500,MATCH(A259,Initiatives!$A$2:$A$500,0)),"")</f>
        <v/>
      </c>
    </row>
    <row r="260">
      <c r="H260" s="14">
        <f>IFERROR(INDEX(Initiatives!$B$2:$B$500,MATCH(A260,Initiatives!$A$2:$A$500,0)),"")</f>
        <v/>
      </c>
    </row>
    <row r="261">
      <c r="H261" s="14">
        <f>IFERROR(INDEX(Initiatives!$B$2:$B$500,MATCH(A261,Initiatives!$A$2:$A$500,0)),"")</f>
        <v/>
      </c>
    </row>
    <row r="262">
      <c r="H262" s="14">
        <f>IFERROR(INDEX(Initiatives!$B$2:$B$500,MATCH(A262,Initiatives!$A$2:$A$500,0)),"")</f>
        <v/>
      </c>
    </row>
    <row r="263">
      <c r="H263" s="14">
        <f>IFERROR(INDEX(Initiatives!$B$2:$B$500,MATCH(A263,Initiatives!$A$2:$A$500,0)),"")</f>
        <v/>
      </c>
    </row>
    <row r="264">
      <c r="H264" s="14">
        <f>IFERROR(INDEX(Initiatives!$B$2:$B$500,MATCH(A264,Initiatives!$A$2:$A$500,0)),"")</f>
        <v/>
      </c>
    </row>
    <row r="265">
      <c r="H265" s="14">
        <f>IFERROR(INDEX(Initiatives!$B$2:$B$500,MATCH(A265,Initiatives!$A$2:$A$500,0)),"")</f>
        <v/>
      </c>
    </row>
    <row r="266">
      <c r="H266" s="14">
        <f>IFERROR(INDEX(Initiatives!$B$2:$B$500,MATCH(A266,Initiatives!$A$2:$A$500,0)),"")</f>
        <v/>
      </c>
    </row>
    <row r="267">
      <c r="H267" s="14">
        <f>IFERROR(INDEX(Initiatives!$B$2:$B$500,MATCH(A267,Initiatives!$A$2:$A$500,0)),"")</f>
        <v/>
      </c>
    </row>
    <row r="268">
      <c r="H268" s="14">
        <f>IFERROR(INDEX(Initiatives!$B$2:$B$500,MATCH(A268,Initiatives!$A$2:$A$500,0)),"")</f>
        <v/>
      </c>
    </row>
    <row r="269">
      <c r="H269" s="14">
        <f>IFERROR(INDEX(Initiatives!$B$2:$B$500,MATCH(A269,Initiatives!$A$2:$A$500,0)),"")</f>
        <v/>
      </c>
    </row>
    <row r="270">
      <c r="H270" s="14">
        <f>IFERROR(INDEX(Initiatives!$B$2:$B$500,MATCH(A270,Initiatives!$A$2:$A$500,0)),"")</f>
        <v/>
      </c>
    </row>
    <row r="271">
      <c r="H271" s="14">
        <f>IFERROR(INDEX(Initiatives!$B$2:$B$500,MATCH(A271,Initiatives!$A$2:$A$500,0)),"")</f>
        <v/>
      </c>
    </row>
    <row r="272">
      <c r="H272" s="14">
        <f>IFERROR(INDEX(Initiatives!$B$2:$B$500,MATCH(A272,Initiatives!$A$2:$A$500,0)),"")</f>
        <v/>
      </c>
    </row>
    <row r="273">
      <c r="H273" s="14">
        <f>IFERROR(INDEX(Initiatives!$B$2:$B$500,MATCH(A273,Initiatives!$A$2:$A$500,0)),"")</f>
        <v/>
      </c>
    </row>
    <row r="274">
      <c r="H274" s="14">
        <f>IFERROR(INDEX(Initiatives!$B$2:$B$500,MATCH(A274,Initiatives!$A$2:$A$500,0)),"")</f>
        <v/>
      </c>
    </row>
    <row r="275">
      <c r="H275" s="14">
        <f>IFERROR(INDEX(Initiatives!$B$2:$B$500,MATCH(A275,Initiatives!$A$2:$A$500,0)),"")</f>
        <v/>
      </c>
    </row>
    <row r="276">
      <c r="H276" s="14">
        <f>IFERROR(INDEX(Initiatives!$B$2:$B$500,MATCH(A276,Initiatives!$A$2:$A$500,0)),"")</f>
        <v/>
      </c>
    </row>
    <row r="277">
      <c r="H277" s="14">
        <f>IFERROR(INDEX(Initiatives!$B$2:$B$500,MATCH(A277,Initiatives!$A$2:$A$500,0)),"")</f>
        <v/>
      </c>
    </row>
    <row r="278">
      <c r="H278" s="14">
        <f>IFERROR(INDEX(Initiatives!$B$2:$B$500,MATCH(A278,Initiatives!$A$2:$A$500,0)),"")</f>
        <v/>
      </c>
    </row>
    <row r="279">
      <c r="H279" s="14">
        <f>IFERROR(INDEX(Initiatives!$B$2:$B$500,MATCH(A279,Initiatives!$A$2:$A$500,0)),"")</f>
        <v/>
      </c>
    </row>
    <row r="280">
      <c r="H280" s="14">
        <f>IFERROR(INDEX(Initiatives!$B$2:$B$500,MATCH(A280,Initiatives!$A$2:$A$500,0)),"")</f>
        <v/>
      </c>
    </row>
    <row r="281">
      <c r="H281" s="14">
        <f>IFERROR(INDEX(Initiatives!$B$2:$B$500,MATCH(A281,Initiatives!$A$2:$A$500,0)),"")</f>
        <v/>
      </c>
    </row>
    <row r="282">
      <c r="H282" s="14">
        <f>IFERROR(INDEX(Initiatives!$B$2:$B$500,MATCH(A282,Initiatives!$A$2:$A$500,0)),"")</f>
        <v/>
      </c>
    </row>
    <row r="283">
      <c r="H283" s="14">
        <f>IFERROR(INDEX(Initiatives!$B$2:$B$500,MATCH(A283,Initiatives!$A$2:$A$500,0)),"")</f>
        <v/>
      </c>
    </row>
    <row r="284">
      <c r="H284" s="14">
        <f>IFERROR(INDEX(Initiatives!$B$2:$B$500,MATCH(A284,Initiatives!$A$2:$A$500,0)),"")</f>
        <v/>
      </c>
    </row>
    <row r="285">
      <c r="H285" s="14">
        <f>IFERROR(INDEX(Initiatives!$B$2:$B$500,MATCH(A285,Initiatives!$A$2:$A$500,0)),"")</f>
        <v/>
      </c>
    </row>
    <row r="286">
      <c r="H286" s="14">
        <f>IFERROR(INDEX(Initiatives!$B$2:$B$500,MATCH(A286,Initiatives!$A$2:$A$500,0)),"")</f>
        <v/>
      </c>
    </row>
    <row r="287">
      <c r="H287" s="14">
        <f>IFERROR(INDEX(Initiatives!$B$2:$B$500,MATCH(A287,Initiatives!$A$2:$A$500,0)),"")</f>
        <v/>
      </c>
    </row>
    <row r="288">
      <c r="H288" s="14">
        <f>IFERROR(INDEX(Initiatives!$B$2:$B$500,MATCH(A288,Initiatives!$A$2:$A$500,0)),"")</f>
        <v/>
      </c>
    </row>
    <row r="289">
      <c r="H289" s="14">
        <f>IFERROR(INDEX(Initiatives!$B$2:$B$500,MATCH(A289,Initiatives!$A$2:$A$500,0)),"")</f>
        <v/>
      </c>
    </row>
    <row r="290">
      <c r="H290" s="14">
        <f>IFERROR(INDEX(Initiatives!$B$2:$B$500,MATCH(A290,Initiatives!$A$2:$A$500,0)),"")</f>
        <v/>
      </c>
    </row>
    <row r="291">
      <c r="H291" s="14">
        <f>IFERROR(INDEX(Initiatives!$B$2:$B$500,MATCH(A291,Initiatives!$A$2:$A$500,0)),"")</f>
        <v/>
      </c>
    </row>
    <row r="292">
      <c r="H292" s="14">
        <f>IFERROR(INDEX(Initiatives!$B$2:$B$500,MATCH(A292,Initiatives!$A$2:$A$500,0)),"")</f>
        <v/>
      </c>
    </row>
    <row r="293">
      <c r="H293" s="14">
        <f>IFERROR(INDEX(Initiatives!$B$2:$B$500,MATCH(A293,Initiatives!$A$2:$A$500,0)),"")</f>
        <v/>
      </c>
    </row>
    <row r="294">
      <c r="H294" s="14">
        <f>IFERROR(INDEX(Initiatives!$B$2:$B$500,MATCH(A294,Initiatives!$A$2:$A$500,0)),"")</f>
        <v/>
      </c>
    </row>
    <row r="295">
      <c r="H295" s="14">
        <f>IFERROR(INDEX(Initiatives!$B$2:$B$500,MATCH(A295,Initiatives!$A$2:$A$500,0)),"")</f>
        <v/>
      </c>
    </row>
    <row r="296">
      <c r="H296" s="14">
        <f>IFERROR(INDEX(Initiatives!$B$2:$B$500,MATCH(A296,Initiatives!$A$2:$A$500,0)),"")</f>
        <v/>
      </c>
    </row>
    <row r="297">
      <c r="H297" s="14">
        <f>IFERROR(INDEX(Initiatives!$B$2:$B$500,MATCH(A297,Initiatives!$A$2:$A$500,0)),"")</f>
        <v/>
      </c>
    </row>
    <row r="298">
      <c r="H298" s="14">
        <f>IFERROR(INDEX(Initiatives!$B$2:$B$500,MATCH(A298,Initiatives!$A$2:$A$500,0)),"")</f>
        <v/>
      </c>
    </row>
    <row r="299">
      <c r="H299" s="14">
        <f>IFERROR(INDEX(Initiatives!$B$2:$B$500,MATCH(A299,Initiatives!$A$2:$A$500,0)),"")</f>
        <v/>
      </c>
    </row>
    <row r="300">
      <c r="H300" s="14">
        <f>IFERROR(INDEX(Initiatives!$B$2:$B$500,MATCH(A300,Initiatives!$A$2:$A$500,0)),"")</f>
        <v/>
      </c>
    </row>
    <row r="301">
      <c r="H301" s="14">
        <f>IFERROR(INDEX(Initiatives!$B$2:$B$500,MATCH(A301,Initiatives!$A$2:$A$500,0)),"")</f>
        <v/>
      </c>
    </row>
    <row r="302">
      <c r="H302" s="14">
        <f>IFERROR(INDEX(Initiatives!$B$2:$B$500,MATCH(A302,Initiatives!$A$2:$A$500,0)),"")</f>
        <v/>
      </c>
    </row>
    <row r="303">
      <c r="H303" s="14">
        <f>IFERROR(INDEX(Initiatives!$B$2:$B$500,MATCH(A303,Initiatives!$A$2:$A$500,0)),"")</f>
        <v/>
      </c>
    </row>
    <row r="304">
      <c r="H304" s="14">
        <f>IFERROR(INDEX(Initiatives!$B$2:$B$500,MATCH(A304,Initiatives!$A$2:$A$500,0)),"")</f>
        <v/>
      </c>
    </row>
    <row r="305">
      <c r="H305" s="14">
        <f>IFERROR(INDEX(Initiatives!$B$2:$B$500,MATCH(A305,Initiatives!$A$2:$A$500,0)),"")</f>
        <v/>
      </c>
    </row>
    <row r="306">
      <c r="H306" s="14">
        <f>IFERROR(INDEX(Initiatives!$B$2:$B$500,MATCH(A306,Initiatives!$A$2:$A$500,0)),"")</f>
        <v/>
      </c>
    </row>
    <row r="307">
      <c r="H307" s="14">
        <f>IFERROR(INDEX(Initiatives!$B$2:$B$500,MATCH(A307,Initiatives!$A$2:$A$500,0)),"")</f>
        <v/>
      </c>
    </row>
    <row r="308">
      <c r="H308" s="14">
        <f>IFERROR(INDEX(Initiatives!$B$2:$B$500,MATCH(A308,Initiatives!$A$2:$A$500,0)),"")</f>
        <v/>
      </c>
    </row>
    <row r="309">
      <c r="H309" s="14">
        <f>IFERROR(INDEX(Initiatives!$B$2:$B$500,MATCH(A309,Initiatives!$A$2:$A$500,0)),"")</f>
        <v/>
      </c>
    </row>
    <row r="310">
      <c r="H310" s="14">
        <f>IFERROR(INDEX(Initiatives!$B$2:$B$500,MATCH(A310,Initiatives!$A$2:$A$500,0)),"")</f>
        <v/>
      </c>
    </row>
    <row r="311">
      <c r="H311" s="14">
        <f>IFERROR(INDEX(Initiatives!$B$2:$B$500,MATCH(A311,Initiatives!$A$2:$A$500,0)),"")</f>
        <v/>
      </c>
    </row>
    <row r="312">
      <c r="H312" s="14">
        <f>IFERROR(INDEX(Initiatives!$B$2:$B$500,MATCH(A312,Initiatives!$A$2:$A$500,0)),"")</f>
        <v/>
      </c>
    </row>
    <row r="313">
      <c r="H313" s="14">
        <f>IFERROR(INDEX(Initiatives!$B$2:$B$500,MATCH(A313,Initiatives!$A$2:$A$500,0)),"")</f>
        <v/>
      </c>
    </row>
    <row r="314">
      <c r="H314" s="14">
        <f>IFERROR(INDEX(Initiatives!$B$2:$B$500,MATCH(A314,Initiatives!$A$2:$A$500,0)),"")</f>
        <v/>
      </c>
    </row>
    <row r="315">
      <c r="H315" s="14">
        <f>IFERROR(INDEX(Initiatives!$B$2:$B$500,MATCH(A315,Initiatives!$A$2:$A$500,0)),"")</f>
        <v/>
      </c>
    </row>
    <row r="316">
      <c r="H316" s="14">
        <f>IFERROR(INDEX(Initiatives!$B$2:$B$500,MATCH(A316,Initiatives!$A$2:$A$500,0)),"")</f>
        <v/>
      </c>
    </row>
    <row r="317">
      <c r="H317" s="14">
        <f>IFERROR(INDEX(Initiatives!$B$2:$B$500,MATCH(A317,Initiatives!$A$2:$A$500,0)),"")</f>
        <v/>
      </c>
    </row>
    <row r="318">
      <c r="H318" s="14">
        <f>IFERROR(INDEX(Initiatives!$B$2:$B$500,MATCH(A318,Initiatives!$A$2:$A$500,0)),"")</f>
        <v/>
      </c>
    </row>
    <row r="319">
      <c r="H319" s="14">
        <f>IFERROR(INDEX(Initiatives!$B$2:$B$500,MATCH(A319,Initiatives!$A$2:$A$500,0)),"")</f>
        <v/>
      </c>
    </row>
    <row r="320">
      <c r="H320" s="14">
        <f>IFERROR(INDEX(Initiatives!$B$2:$B$500,MATCH(A320,Initiatives!$A$2:$A$500,0)),"")</f>
        <v/>
      </c>
    </row>
    <row r="321">
      <c r="H321" s="14">
        <f>IFERROR(INDEX(Initiatives!$B$2:$B$500,MATCH(A321,Initiatives!$A$2:$A$500,0)),"")</f>
        <v/>
      </c>
    </row>
    <row r="322">
      <c r="H322" s="14">
        <f>IFERROR(INDEX(Initiatives!$B$2:$B$500,MATCH(A322,Initiatives!$A$2:$A$500,0)),"")</f>
        <v/>
      </c>
    </row>
    <row r="323">
      <c r="H323" s="14">
        <f>IFERROR(INDEX(Initiatives!$B$2:$B$500,MATCH(A323,Initiatives!$A$2:$A$500,0)),"")</f>
        <v/>
      </c>
    </row>
    <row r="324">
      <c r="H324" s="14">
        <f>IFERROR(INDEX(Initiatives!$B$2:$B$500,MATCH(A324,Initiatives!$A$2:$A$500,0)),"")</f>
        <v/>
      </c>
    </row>
    <row r="325">
      <c r="H325" s="14">
        <f>IFERROR(INDEX(Initiatives!$B$2:$B$500,MATCH(A325,Initiatives!$A$2:$A$500,0)),"")</f>
        <v/>
      </c>
    </row>
    <row r="326">
      <c r="H326" s="14">
        <f>IFERROR(INDEX(Initiatives!$B$2:$B$500,MATCH(A326,Initiatives!$A$2:$A$500,0)),"")</f>
        <v/>
      </c>
    </row>
    <row r="327">
      <c r="H327" s="14">
        <f>IFERROR(INDEX(Initiatives!$B$2:$B$500,MATCH(A327,Initiatives!$A$2:$A$500,0)),"")</f>
        <v/>
      </c>
    </row>
    <row r="328">
      <c r="H328" s="14">
        <f>IFERROR(INDEX(Initiatives!$B$2:$B$500,MATCH(A328,Initiatives!$A$2:$A$500,0)),"")</f>
        <v/>
      </c>
    </row>
    <row r="329">
      <c r="H329" s="14">
        <f>IFERROR(INDEX(Initiatives!$B$2:$B$500,MATCH(A329,Initiatives!$A$2:$A$500,0)),"")</f>
        <v/>
      </c>
    </row>
    <row r="330">
      <c r="H330" s="14">
        <f>IFERROR(INDEX(Initiatives!$B$2:$B$500,MATCH(A330,Initiatives!$A$2:$A$500,0)),"")</f>
        <v/>
      </c>
    </row>
    <row r="331">
      <c r="H331" s="14">
        <f>IFERROR(INDEX(Initiatives!$B$2:$B$500,MATCH(A331,Initiatives!$A$2:$A$500,0)),"")</f>
        <v/>
      </c>
    </row>
    <row r="332">
      <c r="H332" s="14">
        <f>IFERROR(INDEX(Initiatives!$B$2:$B$500,MATCH(A332,Initiatives!$A$2:$A$500,0)),"")</f>
        <v/>
      </c>
    </row>
    <row r="333">
      <c r="H333" s="14">
        <f>IFERROR(INDEX(Initiatives!$B$2:$B$500,MATCH(A333,Initiatives!$A$2:$A$500,0)),"")</f>
        <v/>
      </c>
    </row>
    <row r="334">
      <c r="H334" s="14">
        <f>IFERROR(INDEX(Initiatives!$B$2:$B$500,MATCH(A334,Initiatives!$A$2:$A$500,0)),"")</f>
        <v/>
      </c>
    </row>
    <row r="335">
      <c r="H335" s="14">
        <f>IFERROR(INDEX(Initiatives!$B$2:$B$500,MATCH(A335,Initiatives!$A$2:$A$500,0)),"")</f>
        <v/>
      </c>
    </row>
    <row r="336">
      <c r="H336" s="14">
        <f>IFERROR(INDEX(Initiatives!$B$2:$B$500,MATCH(A336,Initiatives!$A$2:$A$500,0)),"")</f>
        <v/>
      </c>
    </row>
    <row r="337">
      <c r="H337" s="14">
        <f>IFERROR(INDEX(Initiatives!$B$2:$B$500,MATCH(A337,Initiatives!$A$2:$A$500,0)),"")</f>
        <v/>
      </c>
    </row>
    <row r="338">
      <c r="H338" s="14">
        <f>IFERROR(INDEX(Initiatives!$B$2:$B$500,MATCH(A338,Initiatives!$A$2:$A$500,0)),"")</f>
        <v/>
      </c>
    </row>
    <row r="339">
      <c r="H339" s="14">
        <f>IFERROR(INDEX(Initiatives!$B$2:$B$500,MATCH(A339,Initiatives!$A$2:$A$500,0)),"")</f>
        <v/>
      </c>
    </row>
    <row r="340">
      <c r="H340" s="14">
        <f>IFERROR(INDEX(Initiatives!$B$2:$B$500,MATCH(A340,Initiatives!$A$2:$A$500,0)),"")</f>
        <v/>
      </c>
    </row>
    <row r="341">
      <c r="H341" s="14">
        <f>IFERROR(INDEX(Initiatives!$B$2:$B$500,MATCH(A341,Initiatives!$A$2:$A$500,0)),"")</f>
        <v/>
      </c>
    </row>
    <row r="342">
      <c r="H342" s="14">
        <f>IFERROR(INDEX(Initiatives!$B$2:$B$500,MATCH(A342,Initiatives!$A$2:$A$500,0)),"")</f>
        <v/>
      </c>
    </row>
    <row r="343">
      <c r="H343" s="14">
        <f>IFERROR(INDEX(Initiatives!$B$2:$B$500,MATCH(A343,Initiatives!$A$2:$A$500,0)),"")</f>
        <v/>
      </c>
    </row>
    <row r="344">
      <c r="H344" s="14">
        <f>IFERROR(INDEX(Initiatives!$B$2:$B$500,MATCH(A344,Initiatives!$A$2:$A$500,0)),"")</f>
        <v/>
      </c>
    </row>
    <row r="345">
      <c r="H345" s="14">
        <f>IFERROR(INDEX(Initiatives!$B$2:$B$500,MATCH(A345,Initiatives!$A$2:$A$500,0)),"")</f>
        <v/>
      </c>
    </row>
    <row r="346">
      <c r="H346" s="14">
        <f>IFERROR(INDEX(Initiatives!$B$2:$B$500,MATCH(A346,Initiatives!$A$2:$A$500,0)),"")</f>
        <v/>
      </c>
    </row>
    <row r="347">
      <c r="H347" s="14">
        <f>IFERROR(INDEX(Initiatives!$B$2:$B$500,MATCH(A347,Initiatives!$A$2:$A$500,0)),"")</f>
        <v/>
      </c>
    </row>
    <row r="348">
      <c r="H348" s="14">
        <f>IFERROR(INDEX(Initiatives!$B$2:$B$500,MATCH(A348,Initiatives!$A$2:$A$500,0)),"")</f>
        <v/>
      </c>
    </row>
    <row r="349">
      <c r="H349" s="14">
        <f>IFERROR(INDEX(Initiatives!$B$2:$B$500,MATCH(A349,Initiatives!$A$2:$A$500,0)),"")</f>
        <v/>
      </c>
    </row>
    <row r="350">
      <c r="H350" s="14">
        <f>IFERROR(INDEX(Initiatives!$B$2:$B$500,MATCH(A350,Initiatives!$A$2:$A$500,0)),"")</f>
        <v/>
      </c>
    </row>
    <row r="351">
      <c r="H351" s="14">
        <f>IFERROR(INDEX(Initiatives!$B$2:$B$500,MATCH(A351,Initiatives!$A$2:$A$500,0)),"")</f>
        <v/>
      </c>
    </row>
    <row r="352">
      <c r="H352" s="14">
        <f>IFERROR(INDEX(Initiatives!$B$2:$B$500,MATCH(A352,Initiatives!$A$2:$A$500,0)),"")</f>
        <v/>
      </c>
    </row>
    <row r="353">
      <c r="H353" s="14">
        <f>IFERROR(INDEX(Initiatives!$B$2:$B$500,MATCH(A353,Initiatives!$A$2:$A$500,0)),"")</f>
        <v/>
      </c>
    </row>
    <row r="354">
      <c r="H354" s="14">
        <f>IFERROR(INDEX(Initiatives!$B$2:$B$500,MATCH(A354,Initiatives!$A$2:$A$500,0)),"")</f>
        <v/>
      </c>
    </row>
    <row r="355">
      <c r="H355" s="14">
        <f>IFERROR(INDEX(Initiatives!$B$2:$B$500,MATCH(A355,Initiatives!$A$2:$A$500,0)),"")</f>
        <v/>
      </c>
    </row>
    <row r="356">
      <c r="H356" s="14">
        <f>IFERROR(INDEX(Initiatives!$B$2:$B$500,MATCH(A356,Initiatives!$A$2:$A$500,0)),"")</f>
        <v/>
      </c>
    </row>
    <row r="357">
      <c r="H357" s="14">
        <f>IFERROR(INDEX(Initiatives!$B$2:$B$500,MATCH(A357,Initiatives!$A$2:$A$500,0)),"")</f>
        <v/>
      </c>
    </row>
    <row r="358">
      <c r="H358" s="14">
        <f>IFERROR(INDEX(Initiatives!$B$2:$B$500,MATCH(A358,Initiatives!$A$2:$A$500,0)),"")</f>
        <v/>
      </c>
    </row>
    <row r="359">
      <c r="H359" s="14">
        <f>IFERROR(INDEX(Initiatives!$B$2:$B$500,MATCH(A359,Initiatives!$A$2:$A$500,0)),"")</f>
        <v/>
      </c>
    </row>
    <row r="360">
      <c r="H360" s="14">
        <f>IFERROR(INDEX(Initiatives!$B$2:$B$500,MATCH(A360,Initiatives!$A$2:$A$500,0)),"")</f>
        <v/>
      </c>
    </row>
    <row r="361">
      <c r="H361" s="14">
        <f>IFERROR(INDEX(Initiatives!$B$2:$B$500,MATCH(A361,Initiatives!$A$2:$A$500,0)),"")</f>
        <v/>
      </c>
    </row>
    <row r="362">
      <c r="H362" s="14">
        <f>IFERROR(INDEX(Initiatives!$B$2:$B$500,MATCH(A362,Initiatives!$A$2:$A$500,0)),"")</f>
        <v/>
      </c>
    </row>
    <row r="363">
      <c r="H363" s="14">
        <f>IFERROR(INDEX(Initiatives!$B$2:$B$500,MATCH(A363,Initiatives!$A$2:$A$500,0)),"")</f>
        <v/>
      </c>
    </row>
    <row r="364">
      <c r="H364" s="14">
        <f>IFERROR(INDEX(Initiatives!$B$2:$B$500,MATCH(A364,Initiatives!$A$2:$A$500,0)),"")</f>
        <v/>
      </c>
    </row>
    <row r="365">
      <c r="H365" s="14">
        <f>IFERROR(INDEX(Initiatives!$B$2:$B$500,MATCH(A365,Initiatives!$A$2:$A$500,0)),"")</f>
        <v/>
      </c>
    </row>
    <row r="366">
      <c r="H366" s="14">
        <f>IFERROR(INDEX(Initiatives!$B$2:$B$500,MATCH(A366,Initiatives!$A$2:$A$500,0)),"")</f>
        <v/>
      </c>
    </row>
    <row r="367">
      <c r="H367" s="14">
        <f>IFERROR(INDEX(Initiatives!$B$2:$B$500,MATCH(A367,Initiatives!$A$2:$A$500,0)),"")</f>
        <v/>
      </c>
    </row>
    <row r="368">
      <c r="H368" s="14">
        <f>IFERROR(INDEX(Initiatives!$B$2:$B$500,MATCH(A368,Initiatives!$A$2:$A$500,0)),"")</f>
        <v/>
      </c>
    </row>
    <row r="369">
      <c r="H369" s="14">
        <f>IFERROR(INDEX(Initiatives!$B$2:$B$500,MATCH(A369,Initiatives!$A$2:$A$500,0)),"")</f>
        <v/>
      </c>
    </row>
    <row r="370">
      <c r="H370" s="14">
        <f>IFERROR(INDEX(Initiatives!$B$2:$B$500,MATCH(A370,Initiatives!$A$2:$A$500,0)),"")</f>
        <v/>
      </c>
    </row>
    <row r="371">
      <c r="H371" s="14">
        <f>IFERROR(INDEX(Initiatives!$B$2:$B$500,MATCH(A371,Initiatives!$A$2:$A$500,0)),"")</f>
        <v/>
      </c>
    </row>
    <row r="372">
      <c r="H372" s="14">
        <f>IFERROR(INDEX(Initiatives!$B$2:$B$500,MATCH(A372,Initiatives!$A$2:$A$500,0)),"")</f>
        <v/>
      </c>
    </row>
    <row r="373">
      <c r="H373" s="14">
        <f>IFERROR(INDEX(Initiatives!$B$2:$B$500,MATCH(A373,Initiatives!$A$2:$A$500,0)),"")</f>
        <v/>
      </c>
    </row>
    <row r="374">
      <c r="H374" s="14">
        <f>IFERROR(INDEX(Initiatives!$B$2:$B$500,MATCH(A374,Initiatives!$A$2:$A$500,0)),"")</f>
        <v/>
      </c>
    </row>
    <row r="375">
      <c r="H375" s="14">
        <f>IFERROR(INDEX(Initiatives!$B$2:$B$500,MATCH(A375,Initiatives!$A$2:$A$500,0)),"")</f>
        <v/>
      </c>
    </row>
    <row r="376">
      <c r="H376" s="14">
        <f>IFERROR(INDEX(Initiatives!$B$2:$B$500,MATCH(A376,Initiatives!$A$2:$A$500,0)),"")</f>
        <v/>
      </c>
    </row>
    <row r="377">
      <c r="H377" s="14">
        <f>IFERROR(INDEX(Initiatives!$B$2:$B$500,MATCH(A377,Initiatives!$A$2:$A$500,0)),"")</f>
        <v/>
      </c>
    </row>
    <row r="378">
      <c r="H378" s="14">
        <f>IFERROR(INDEX(Initiatives!$B$2:$B$500,MATCH(A378,Initiatives!$A$2:$A$500,0)),"")</f>
        <v/>
      </c>
    </row>
    <row r="379">
      <c r="H379" s="14">
        <f>IFERROR(INDEX(Initiatives!$B$2:$B$500,MATCH(A379,Initiatives!$A$2:$A$500,0)),"")</f>
        <v/>
      </c>
    </row>
    <row r="380">
      <c r="H380" s="14">
        <f>IFERROR(INDEX(Initiatives!$B$2:$B$500,MATCH(A380,Initiatives!$A$2:$A$500,0)),"")</f>
        <v/>
      </c>
    </row>
    <row r="381">
      <c r="H381" s="14">
        <f>IFERROR(INDEX(Initiatives!$B$2:$B$500,MATCH(A381,Initiatives!$A$2:$A$500,0)),"")</f>
        <v/>
      </c>
    </row>
    <row r="382">
      <c r="H382" s="14">
        <f>IFERROR(INDEX(Initiatives!$B$2:$B$500,MATCH(A382,Initiatives!$A$2:$A$500,0)),"")</f>
        <v/>
      </c>
    </row>
    <row r="383">
      <c r="H383" s="14">
        <f>IFERROR(INDEX(Initiatives!$B$2:$B$500,MATCH(A383,Initiatives!$A$2:$A$500,0)),"")</f>
        <v/>
      </c>
    </row>
    <row r="384">
      <c r="H384" s="14">
        <f>IFERROR(INDEX(Initiatives!$B$2:$B$500,MATCH(A384,Initiatives!$A$2:$A$500,0)),"")</f>
        <v/>
      </c>
    </row>
    <row r="385">
      <c r="H385" s="14">
        <f>IFERROR(INDEX(Initiatives!$B$2:$B$500,MATCH(A385,Initiatives!$A$2:$A$500,0)),"")</f>
        <v/>
      </c>
    </row>
    <row r="386">
      <c r="H386" s="14">
        <f>IFERROR(INDEX(Initiatives!$B$2:$B$500,MATCH(A386,Initiatives!$A$2:$A$500,0)),"")</f>
        <v/>
      </c>
    </row>
    <row r="387">
      <c r="H387" s="14">
        <f>IFERROR(INDEX(Initiatives!$B$2:$B$500,MATCH(A387,Initiatives!$A$2:$A$500,0)),"")</f>
        <v/>
      </c>
    </row>
    <row r="388">
      <c r="H388" s="14">
        <f>IFERROR(INDEX(Initiatives!$B$2:$B$500,MATCH(A388,Initiatives!$A$2:$A$500,0)),"")</f>
        <v/>
      </c>
    </row>
    <row r="389">
      <c r="H389" s="14">
        <f>IFERROR(INDEX(Initiatives!$B$2:$B$500,MATCH(A389,Initiatives!$A$2:$A$500,0)),"")</f>
        <v/>
      </c>
    </row>
    <row r="390">
      <c r="H390" s="14">
        <f>IFERROR(INDEX(Initiatives!$B$2:$B$500,MATCH(A390,Initiatives!$A$2:$A$500,0)),"")</f>
        <v/>
      </c>
    </row>
    <row r="391">
      <c r="H391" s="14">
        <f>IFERROR(INDEX(Initiatives!$B$2:$B$500,MATCH(A391,Initiatives!$A$2:$A$500,0)),"")</f>
        <v/>
      </c>
    </row>
    <row r="392">
      <c r="H392" s="14">
        <f>IFERROR(INDEX(Initiatives!$B$2:$B$500,MATCH(A392,Initiatives!$A$2:$A$500,0)),"")</f>
        <v/>
      </c>
    </row>
    <row r="393">
      <c r="H393" s="14">
        <f>IFERROR(INDEX(Initiatives!$B$2:$B$500,MATCH(A393,Initiatives!$A$2:$A$500,0)),"")</f>
        <v/>
      </c>
    </row>
    <row r="394">
      <c r="H394" s="14">
        <f>IFERROR(INDEX(Initiatives!$B$2:$B$500,MATCH(A394,Initiatives!$A$2:$A$500,0)),"")</f>
        <v/>
      </c>
    </row>
    <row r="395">
      <c r="H395" s="14">
        <f>IFERROR(INDEX(Initiatives!$B$2:$B$500,MATCH(A395,Initiatives!$A$2:$A$500,0)),"")</f>
        <v/>
      </c>
    </row>
    <row r="396">
      <c r="H396" s="14">
        <f>IFERROR(INDEX(Initiatives!$B$2:$B$500,MATCH(A396,Initiatives!$A$2:$A$500,0)),"")</f>
        <v/>
      </c>
    </row>
    <row r="397">
      <c r="H397" s="14">
        <f>IFERROR(INDEX(Initiatives!$B$2:$B$500,MATCH(A397,Initiatives!$A$2:$A$500,0)),"")</f>
        <v/>
      </c>
    </row>
    <row r="398">
      <c r="H398" s="14">
        <f>IFERROR(INDEX(Initiatives!$B$2:$B$500,MATCH(A398,Initiatives!$A$2:$A$500,0)),"")</f>
        <v/>
      </c>
    </row>
    <row r="399">
      <c r="H399" s="14">
        <f>IFERROR(INDEX(Initiatives!$B$2:$B$500,MATCH(A399,Initiatives!$A$2:$A$500,0)),"")</f>
        <v/>
      </c>
    </row>
    <row r="400">
      <c r="H400" s="14">
        <f>IFERROR(INDEX(Initiatives!$B$2:$B$500,MATCH(A400,Initiatives!$A$2:$A$500,0)),"")</f>
        <v/>
      </c>
    </row>
    <row r="401">
      <c r="H401" s="14">
        <f>IFERROR(INDEX(Initiatives!$B$2:$B$500,MATCH(A401,Initiatives!$A$2:$A$500,0)),"")</f>
        <v/>
      </c>
    </row>
    <row r="402">
      <c r="H402" s="14">
        <f>IFERROR(INDEX(Initiatives!$B$2:$B$500,MATCH(A402,Initiatives!$A$2:$A$500,0)),"")</f>
        <v/>
      </c>
    </row>
    <row r="403">
      <c r="H403" s="14">
        <f>IFERROR(INDEX(Initiatives!$B$2:$B$500,MATCH(A403,Initiatives!$A$2:$A$500,0)),"")</f>
        <v/>
      </c>
    </row>
    <row r="404">
      <c r="H404" s="14">
        <f>IFERROR(INDEX(Initiatives!$B$2:$B$500,MATCH(A404,Initiatives!$A$2:$A$500,0)),"")</f>
        <v/>
      </c>
    </row>
    <row r="405">
      <c r="H405" s="14">
        <f>IFERROR(INDEX(Initiatives!$B$2:$B$500,MATCH(A405,Initiatives!$A$2:$A$500,0)),"")</f>
        <v/>
      </c>
    </row>
    <row r="406">
      <c r="H406" s="14">
        <f>IFERROR(INDEX(Initiatives!$B$2:$B$500,MATCH(A406,Initiatives!$A$2:$A$500,0)),"")</f>
        <v/>
      </c>
    </row>
    <row r="407">
      <c r="H407" s="14">
        <f>IFERROR(INDEX(Initiatives!$B$2:$B$500,MATCH(A407,Initiatives!$A$2:$A$500,0)),"")</f>
        <v/>
      </c>
    </row>
    <row r="408">
      <c r="H408" s="14">
        <f>IFERROR(INDEX(Initiatives!$B$2:$B$500,MATCH(A408,Initiatives!$A$2:$A$500,0)),"")</f>
        <v/>
      </c>
    </row>
    <row r="409">
      <c r="H409" s="14">
        <f>IFERROR(INDEX(Initiatives!$B$2:$B$500,MATCH(A409,Initiatives!$A$2:$A$500,0)),"")</f>
        <v/>
      </c>
    </row>
    <row r="410">
      <c r="H410" s="14">
        <f>IFERROR(INDEX(Initiatives!$B$2:$B$500,MATCH(A410,Initiatives!$A$2:$A$500,0)),"")</f>
        <v/>
      </c>
    </row>
    <row r="411">
      <c r="H411" s="14">
        <f>IFERROR(INDEX(Initiatives!$B$2:$B$500,MATCH(A411,Initiatives!$A$2:$A$500,0)),"")</f>
        <v/>
      </c>
    </row>
    <row r="412">
      <c r="H412" s="14">
        <f>IFERROR(INDEX(Initiatives!$B$2:$B$500,MATCH(A412,Initiatives!$A$2:$A$500,0)),"")</f>
        <v/>
      </c>
    </row>
    <row r="413">
      <c r="H413" s="14">
        <f>IFERROR(INDEX(Initiatives!$B$2:$B$500,MATCH(A413,Initiatives!$A$2:$A$500,0)),"")</f>
        <v/>
      </c>
    </row>
    <row r="414">
      <c r="H414" s="14">
        <f>IFERROR(INDEX(Initiatives!$B$2:$B$500,MATCH(A414,Initiatives!$A$2:$A$500,0)),"")</f>
        <v/>
      </c>
    </row>
    <row r="415">
      <c r="H415" s="14">
        <f>IFERROR(INDEX(Initiatives!$B$2:$B$500,MATCH(A415,Initiatives!$A$2:$A$500,0)),"")</f>
        <v/>
      </c>
    </row>
    <row r="416">
      <c r="H416" s="14">
        <f>IFERROR(INDEX(Initiatives!$B$2:$B$500,MATCH(A416,Initiatives!$A$2:$A$500,0)),"")</f>
        <v/>
      </c>
    </row>
    <row r="417">
      <c r="H417" s="14">
        <f>IFERROR(INDEX(Initiatives!$B$2:$B$500,MATCH(A417,Initiatives!$A$2:$A$500,0)),"")</f>
        <v/>
      </c>
    </row>
    <row r="418">
      <c r="H418" s="14">
        <f>IFERROR(INDEX(Initiatives!$B$2:$B$500,MATCH(A418,Initiatives!$A$2:$A$500,0)),"")</f>
        <v/>
      </c>
    </row>
    <row r="419">
      <c r="H419" s="14">
        <f>IFERROR(INDEX(Initiatives!$B$2:$B$500,MATCH(A419,Initiatives!$A$2:$A$500,0)),"")</f>
        <v/>
      </c>
    </row>
    <row r="420">
      <c r="H420" s="14">
        <f>IFERROR(INDEX(Initiatives!$B$2:$B$500,MATCH(A420,Initiatives!$A$2:$A$500,0)),"")</f>
        <v/>
      </c>
    </row>
    <row r="421">
      <c r="H421" s="14">
        <f>IFERROR(INDEX(Initiatives!$B$2:$B$500,MATCH(A421,Initiatives!$A$2:$A$500,0)),"")</f>
        <v/>
      </c>
    </row>
    <row r="422">
      <c r="H422" s="14">
        <f>IFERROR(INDEX(Initiatives!$B$2:$B$500,MATCH(A422,Initiatives!$A$2:$A$500,0)),"")</f>
        <v/>
      </c>
    </row>
    <row r="423">
      <c r="H423" s="14">
        <f>IFERROR(INDEX(Initiatives!$B$2:$B$500,MATCH(A423,Initiatives!$A$2:$A$500,0)),"")</f>
        <v/>
      </c>
    </row>
    <row r="424">
      <c r="H424" s="14">
        <f>IFERROR(INDEX(Initiatives!$B$2:$B$500,MATCH(A424,Initiatives!$A$2:$A$500,0)),"")</f>
        <v/>
      </c>
    </row>
    <row r="425">
      <c r="H425" s="14">
        <f>IFERROR(INDEX(Initiatives!$B$2:$B$500,MATCH(A425,Initiatives!$A$2:$A$500,0)),"")</f>
        <v/>
      </c>
    </row>
    <row r="426">
      <c r="H426" s="14">
        <f>IFERROR(INDEX(Initiatives!$B$2:$B$500,MATCH(A426,Initiatives!$A$2:$A$500,0)),"")</f>
        <v/>
      </c>
    </row>
    <row r="427">
      <c r="H427" s="14">
        <f>IFERROR(INDEX(Initiatives!$B$2:$B$500,MATCH(A427,Initiatives!$A$2:$A$500,0)),"")</f>
        <v/>
      </c>
    </row>
    <row r="428">
      <c r="H428" s="14">
        <f>IFERROR(INDEX(Initiatives!$B$2:$B$500,MATCH(A428,Initiatives!$A$2:$A$500,0)),"")</f>
        <v/>
      </c>
    </row>
    <row r="429">
      <c r="H429" s="14">
        <f>IFERROR(INDEX(Initiatives!$B$2:$B$500,MATCH(A429,Initiatives!$A$2:$A$500,0)),"")</f>
        <v/>
      </c>
    </row>
    <row r="430">
      <c r="H430" s="14">
        <f>IFERROR(INDEX(Initiatives!$B$2:$B$500,MATCH(A430,Initiatives!$A$2:$A$500,0)),"")</f>
        <v/>
      </c>
    </row>
    <row r="431">
      <c r="H431" s="14">
        <f>IFERROR(INDEX(Initiatives!$B$2:$B$500,MATCH(A431,Initiatives!$A$2:$A$500,0)),"")</f>
        <v/>
      </c>
    </row>
    <row r="432">
      <c r="H432" s="14">
        <f>IFERROR(INDEX(Initiatives!$B$2:$B$500,MATCH(A432,Initiatives!$A$2:$A$500,0)),"")</f>
        <v/>
      </c>
    </row>
    <row r="433">
      <c r="H433" s="14">
        <f>IFERROR(INDEX(Initiatives!$B$2:$B$500,MATCH(A433,Initiatives!$A$2:$A$500,0)),"")</f>
        <v/>
      </c>
    </row>
    <row r="434">
      <c r="H434" s="14">
        <f>IFERROR(INDEX(Initiatives!$B$2:$B$500,MATCH(A434,Initiatives!$A$2:$A$500,0)),"")</f>
        <v/>
      </c>
    </row>
    <row r="435">
      <c r="H435" s="14">
        <f>IFERROR(INDEX(Initiatives!$B$2:$B$500,MATCH(A435,Initiatives!$A$2:$A$500,0)),"")</f>
        <v/>
      </c>
    </row>
    <row r="436">
      <c r="H436" s="14">
        <f>IFERROR(INDEX(Initiatives!$B$2:$B$500,MATCH(A436,Initiatives!$A$2:$A$500,0)),"")</f>
        <v/>
      </c>
    </row>
    <row r="437">
      <c r="H437" s="14">
        <f>IFERROR(INDEX(Initiatives!$B$2:$B$500,MATCH(A437,Initiatives!$A$2:$A$500,0)),"")</f>
        <v/>
      </c>
    </row>
    <row r="438">
      <c r="H438" s="14">
        <f>IFERROR(INDEX(Initiatives!$B$2:$B$500,MATCH(A438,Initiatives!$A$2:$A$500,0)),"")</f>
        <v/>
      </c>
    </row>
    <row r="439">
      <c r="H439" s="14">
        <f>IFERROR(INDEX(Initiatives!$B$2:$B$500,MATCH(A439,Initiatives!$A$2:$A$500,0)),"")</f>
        <v/>
      </c>
    </row>
    <row r="440">
      <c r="H440" s="14">
        <f>IFERROR(INDEX(Initiatives!$B$2:$B$500,MATCH(A440,Initiatives!$A$2:$A$500,0)),"")</f>
        <v/>
      </c>
    </row>
    <row r="441">
      <c r="H441" s="14">
        <f>IFERROR(INDEX(Initiatives!$B$2:$B$500,MATCH(A441,Initiatives!$A$2:$A$500,0)),"")</f>
        <v/>
      </c>
    </row>
    <row r="442">
      <c r="H442" s="14">
        <f>IFERROR(INDEX(Initiatives!$B$2:$B$500,MATCH(A442,Initiatives!$A$2:$A$500,0)),"")</f>
        <v/>
      </c>
    </row>
    <row r="443">
      <c r="H443" s="14">
        <f>IFERROR(INDEX(Initiatives!$B$2:$B$500,MATCH(A443,Initiatives!$A$2:$A$500,0)),"")</f>
        <v/>
      </c>
    </row>
    <row r="444">
      <c r="H444" s="14">
        <f>IFERROR(INDEX(Initiatives!$B$2:$B$500,MATCH(A444,Initiatives!$A$2:$A$500,0)),"")</f>
        <v/>
      </c>
    </row>
    <row r="445">
      <c r="H445" s="14">
        <f>IFERROR(INDEX(Initiatives!$B$2:$B$500,MATCH(A445,Initiatives!$A$2:$A$500,0)),"")</f>
        <v/>
      </c>
    </row>
    <row r="446">
      <c r="H446" s="14">
        <f>IFERROR(INDEX(Initiatives!$B$2:$B$500,MATCH(A446,Initiatives!$A$2:$A$500,0)),"")</f>
        <v/>
      </c>
    </row>
    <row r="447">
      <c r="H447" s="14">
        <f>IFERROR(INDEX(Initiatives!$B$2:$B$500,MATCH(A447,Initiatives!$A$2:$A$500,0)),"")</f>
        <v/>
      </c>
    </row>
    <row r="448">
      <c r="H448" s="14">
        <f>IFERROR(INDEX(Initiatives!$B$2:$B$500,MATCH(A448,Initiatives!$A$2:$A$500,0)),"")</f>
        <v/>
      </c>
    </row>
    <row r="449">
      <c r="H449" s="14">
        <f>IFERROR(INDEX(Initiatives!$B$2:$B$500,MATCH(A449,Initiatives!$A$2:$A$500,0)),"")</f>
        <v/>
      </c>
    </row>
    <row r="450">
      <c r="H450" s="14">
        <f>IFERROR(INDEX(Initiatives!$B$2:$B$500,MATCH(A450,Initiatives!$A$2:$A$500,0)),"")</f>
        <v/>
      </c>
    </row>
    <row r="451">
      <c r="H451" s="14">
        <f>IFERROR(INDEX(Initiatives!$B$2:$B$500,MATCH(A451,Initiatives!$A$2:$A$500,0)),"")</f>
        <v/>
      </c>
    </row>
    <row r="452">
      <c r="H452" s="14">
        <f>IFERROR(INDEX(Initiatives!$B$2:$B$500,MATCH(A452,Initiatives!$A$2:$A$500,0)),"")</f>
        <v/>
      </c>
    </row>
    <row r="453">
      <c r="H453" s="14">
        <f>IFERROR(INDEX(Initiatives!$B$2:$B$500,MATCH(A453,Initiatives!$A$2:$A$500,0)),"")</f>
        <v/>
      </c>
    </row>
    <row r="454">
      <c r="H454" s="14">
        <f>IFERROR(INDEX(Initiatives!$B$2:$B$500,MATCH(A454,Initiatives!$A$2:$A$500,0)),"")</f>
        <v/>
      </c>
    </row>
    <row r="455">
      <c r="H455" s="14">
        <f>IFERROR(INDEX(Initiatives!$B$2:$B$500,MATCH(A455,Initiatives!$A$2:$A$500,0)),"")</f>
        <v/>
      </c>
    </row>
    <row r="456">
      <c r="H456" s="14">
        <f>IFERROR(INDEX(Initiatives!$B$2:$B$500,MATCH(A456,Initiatives!$A$2:$A$500,0)),"")</f>
        <v/>
      </c>
    </row>
    <row r="457">
      <c r="H457" s="14">
        <f>IFERROR(INDEX(Initiatives!$B$2:$B$500,MATCH(A457,Initiatives!$A$2:$A$500,0)),"")</f>
        <v/>
      </c>
    </row>
    <row r="458">
      <c r="H458" s="14">
        <f>IFERROR(INDEX(Initiatives!$B$2:$B$500,MATCH(A458,Initiatives!$A$2:$A$500,0)),"")</f>
        <v/>
      </c>
    </row>
    <row r="459">
      <c r="H459" s="14">
        <f>IFERROR(INDEX(Initiatives!$B$2:$B$500,MATCH(A459,Initiatives!$A$2:$A$500,0)),"")</f>
        <v/>
      </c>
    </row>
    <row r="460">
      <c r="H460" s="14">
        <f>IFERROR(INDEX(Initiatives!$B$2:$B$500,MATCH(A460,Initiatives!$A$2:$A$500,0)),"")</f>
        <v/>
      </c>
    </row>
    <row r="461">
      <c r="H461" s="14">
        <f>IFERROR(INDEX(Initiatives!$B$2:$B$500,MATCH(A461,Initiatives!$A$2:$A$500,0)),"")</f>
        <v/>
      </c>
    </row>
    <row r="462">
      <c r="H462" s="14">
        <f>IFERROR(INDEX(Initiatives!$B$2:$B$500,MATCH(A462,Initiatives!$A$2:$A$500,0)),"")</f>
        <v/>
      </c>
    </row>
    <row r="463">
      <c r="H463" s="14">
        <f>IFERROR(INDEX(Initiatives!$B$2:$B$500,MATCH(A463,Initiatives!$A$2:$A$500,0)),"")</f>
        <v/>
      </c>
    </row>
    <row r="464">
      <c r="H464" s="14">
        <f>IFERROR(INDEX(Initiatives!$B$2:$B$500,MATCH(A464,Initiatives!$A$2:$A$500,0)),"")</f>
        <v/>
      </c>
    </row>
    <row r="465">
      <c r="H465" s="14">
        <f>IFERROR(INDEX(Initiatives!$B$2:$B$500,MATCH(A465,Initiatives!$A$2:$A$500,0)),"")</f>
        <v/>
      </c>
    </row>
    <row r="466">
      <c r="H466" s="14">
        <f>IFERROR(INDEX(Initiatives!$B$2:$B$500,MATCH(A466,Initiatives!$A$2:$A$500,0)),"")</f>
        <v/>
      </c>
    </row>
    <row r="467">
      <c r="H467" s="14">
        <f>IFERROR(INDEX(Initiatives!$B$2:$B$500,MATCH(A467,Initiatives!$A$2:$A$500,0)),"")</f>
        <v/>
      </c>
    </row>
    <row r="468">
      <c r="H468" s="14">
        <f>IFERROR(INDEX(Initiatives!$B$2:$B$500,MATCH(A468,Initiatives!$A$2:$A$500,0)),"")</f>
        <v/>
      </c>
    </row>
    <row r="469">
      <c r="H469" s="14">
        <f>IFERROR(INDEX(Initiatives!$B$2:$B$500,MATCH(A469,Initiatives!$A$2:$A$500,0)),"")</f>
        <v/>
      </c>
    </row>
    <row r="470">
      <c r="H470" s="14">
        <f>IFERROR(INDEX(Initiatives!$B$2:$B$500,MATCH(A470,Initiatives!$A$2:$A$500,0)),"")</f>
        <v/>
      </c>
    </row>
    <row r="471">
      <c r="H471" s="14">
        <f>IFERROR(INDEX(Initiatives!$B$2:$B$500,MATCH(A471,Initiatives!$A$2:$A$500,0)),"")</f>
        <v/>
      </c>
    </row>
    <row r="472">
      <c r="H472" s="14">
        <f>IFERROR(INDEX(Initiatives!$B$2:$B$500,MATCH(A472,Initiatives!$A$2:$A$500,0)),"")</f>
        <v/>
      </c>
    </row>
    <row r="473">
      <c r="H473" s="14">
        <f>IFERROR(INDEX(Initiatives!$B$2:$B$500,MATCH(A473,Initiatives!$A$2:$A$500,0)),"")</f>
        <v/>
      </c>
    </row>
    <row r="474">
      <c r="H474" s="14">
        <f>IFERROR(INDEX(Initiatives!$B$2:$B$500,MATCH(A474,Initiatives!$A$2:$A$500,0)),"")</f>
        <v/>
      </c>
    </row>
    <row r="475">
      <c r="H475" s="14">
        <f>IFERROR(INDEX(Initiatives!$B$2:$B$500,MATCH(A475,Initiatives!$A$2:$A$500,0)),"")</f>
        <v/>
      </c>
    </row>
    <row r="476">
      <c r="H476" s="14">
        <f>IFERROR(INDEX(Initiatives!$B$2:$B$500,MATCH(A476,Initiatives!$A$2:$A$500,0)),"")</f>
        <v/>
      </c>
    </row>
    <row r="477">
      <c r="H477" s="14">
        <f>IFERROR(INDEX(Initiatives!$B$2:$B$500,MATCH(A477,Initiatives!$A$2:$A$500,0)),"")</f>
        <v/>
      </c>
    </row>
    <row r="478">
      <c r="H478" s="14">
        <f>IFERROR(INDEX(Initiatives!$B$2:$B$500,MATCH(A478,Initiatives!$A$2:$A$500,0)),"")</f>
        <v/>
      </c>
    </row>
    <row r="479">
      <c r="H479" s="14">
        <f>IFERROR(INDEX(Initiatives!$B$2:$B$500,MATCH(A479,Initiatives!$A$2:$A$500,0)),"")</f>
        <v/>
      </c>
    </row>
    <row r="480">
      <c r="H480" s="14">
        <f>IFERROR(INDEX(Initiatives!$B$2:$B$500,MATCH(A480,Initiatives!$A$2:$A$500,0)),"")</f>
        <v/>
      </c>
    </row>
    <row r="481">
      <c r="H481" s="14">
        <f>IFERROR(INDEX(Initiatives!$B$2:$B$500,MATCH(A481,Initiatives!$A$2:$A$500,0)),"")</f>
        <v/>
      </c>
    </row>
    <row r="482">
      <c r="H482" s="14">
        <f>IFERROR(INDEX(Initiatives!$B$2:$B$500,MATCH(A482,Initiatives!$A$2:$A$500,0)),"")</f>
        <v/>
      </c>
    </row>
    <row r="483">
      <c r="H483" s="14">
        <f>IFERROR(INDEX(Initiatives!$B$2:$B$500,MATCH(A483,Initiatives!$A$2:$A$500,0)),"")</f>
        <v/>
      </c>
    </row>
    <row r="484">
      <c r="H484" s="14">
        <f>IFERROR(INDEX(Initiatives!$B$2:$B$500,MATCH(A484,Initiatives!$A$2:$A$500,0)),"")</f>
        <v/>
      </c>
    </row>
    <row r="485">
      <c r="H485" s="14">
        <f>IFERROR(INDEX(Initiatives!$B$2:$B$500,MATCH(A485,Initiatives!$A$2:$A$500,0)),"")</f>
        <v/>
      </c>
    </row>
    <row r="486">
      <c r="H486" s="14">
        <f>IFERROR(INDEX(Initiatives!$B$2:$B$500,MATCH(A486,Initiatives!$A$2:$A$500,0)),"")</f>
        <v/>
      </c>
    </row>
    <row r="487">
      <c r="H487" s="14">
        <f>IFERROR(INDEX(Initiatives!$B$2:$B$500,MATCH(A487,Initiatives!$A$2:$A$500,0)),"")</f>
        <v/>
      </c>
    </row>
    <row r="488">
      <c r="H488" s="14">
        <f>IFERROR(INDEX(Initiatives!$B$2:$B$500,MATCH(A488,Initiatives!$A$2:$A$500,0)),"")</f>
        <v/>
      </c>
    </row>
    <row r="489">
      <c r="H489" s="14">
        <f>IFERROR(INDEX(Initiatives!$B$2:$B$500,MATCH(A489,Initiatives!$A$2:$A$500,0)),"")</f>
        <v/>
      </c>
    </row>
    <row r="490">
      <c r="H490" s="14">
        <f>IFERROR(INDEX(Initiatives!$B$2:$B$500,MATCH(A490,Initiatives!$A$2:$A$500,0)),"")</f>
        <v/>
      </c>
    </row>
    <row r="491">
      <c r="H491" s="14">
        <f>IFERROR(INDEX(Initiatives!$B$2:$B$500,MATCH(A491,Initiatives!$A$2:$A$500,0)),"")</f>
        <v/>
      </c>
    </row>
    <row r="492">
      <c r="H492" s="14">
        <f>IFERROR(INDEX(Initiatives!$B$2:$B$500,MATCH(A492,Initiatives!$A$2:$A$500,0)),"")</f>
        <v/>
      </c>
    </row>
    <row r="493">
      <c r="H493" s="14">
        <f>IFERROR(INDEX(Initiatives!$B$2:$B$500,MATCH(A493,Initiatives!$A$2:$A$500,0)),"")</f>
        <v/>
      </c>
    </row>
    <row r="494">
      <c r="H494" s="14">
        <f>IFERROR(INDEX(Initiatives!$B$2:$B$500,MATCH(A494,Initiatives!$A$2:$A$500,0)),"")</f>
        <v/>
      </c>
    </row>
    <row r="495">
      <c r="H495" s="14">
        <f>IFERROR(INDEX(Initiatives!$B$2:$B$500,MATCH(A495,Initiatives!$A$2:$A$500,0)),"")</f>
        <v/>
      </c>
    </row>
    <row r="496">
      <c r="H496" s="14">
        <f>IFERROR(INDEX(Initiatives!$B$2:$B$500,MATCH(A496,Initiatives!$A$2:$A$500,0)),"")</f>
        <v/>
      </c>
    </row>
    <row r="497">
      <c r="H497" s="14">
        <f>IFERROR(INDEX(Initiatives!$B$2:$B$500,MATCH(A497,Initiatives!$A$2:$A$500,0)),"")</f>
        <v/>
      </c>
    </row>
    <row r="498">
      <c r="H498" s="14">
        <f>IFERROR(INDEX(Initiatives!$B$2:$B$500,MATCH(A498,Initiatives!$A$2:$A$500,0)),"")</f>
        <v/>
      </c>
    </row>
    <row r="499">
      <c r="H499" s="14">
        <f>IFERROR(INDEX(Initiatives!$B$2:$B$500,MATCH(A499,Initiatives!$A$2:$A$500,0)),"")</f>
        <v/>
      </c>
    </row>
    <row r="500">
      <c r="H500" s="14">
        <f>IFERROR(INDEX(Initiatives!$B$2:$B$500,MATCH(A500,Initiatives!$A$2:$A$500,0)),"")</f>
        <v/>
      </c>
    </row>
  </sheetData>
  <autoFilter ref="A1:H89"/>
  <dataValidations count="3">
    <dataValidation sqref="A2:A2000" showDropDown="0" showInputMessage="0" showErrorMessage="1" allowBlank="1" errorTitle="Choose from the list" error="Pick a value from the dropdown." type="list">
      <formula1>Initiatives!$A$2:$A$500</formula1>
    </dataValidation>
    <dataValidation sqref="D2:D2000" showDropDown="0" showInputMessage="0" showErrorMessage="1" allowBlank="1" errorTitle="Choose from the list" error="Pick a value from the dropdown." type="list">
      <formula1>"staff,grants,events,marketing,travel,vendors,other"</formula1>
    </dataValidation>
    <dataValidation sqref="E2:E2000" showDropDown="0" showInputMessage="0" showErrorMessage="1" allowBlank="1" errorTitle="Choose from the list" error="Pick a value from the dropdown." type="list">
      <formula1>"actual,committed"</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cols>
    <col width="44" customWidth="1" min="1" max="1"/>
    <col width="40" customWidth="1" min="2" max="2"/>
    <col width="12" customWidth="1" min="3" max="3"/>
    <col width="12" customWidth="1" min="4" max="4"/>
    <col width="18" customWidth="1" min="5" max="5"/>
    <col width="28" customWidth="1" min="6" max="6"/>
    <col width="30" customWidth="1" min="7" max="7"/>
    <col width="12" customWidth="1" min="8" max="8"/>
    <col width="11" customWidth="1" min="9" max="9"/>
    <col width="11" customWidth="1" min="10" max="10"/>
    <col width="13" customWidth="1" min="11" max="11"/>
    <col width="30" customWidth="1" min="12" max="12"/>
  </cols>
  <sheetData>
    <row r="1" ht="30" customHeight="1">
      <c r="A1" s="5" t="inlineStr">
        <is>
          <t>Title</t>
        </is>
      </c>
      <c r="B1" s="5" t="inlineStr">
        <is>
          <t>Description</t>
        </is>
      </c>
      <c r="C1" s="5" t="inlineStr">
        <is>
          <t>Type</t>
        </is>
      </c>
      <c r="D1" s="5" t="inlineStr">
        <is>
          <t>Team</t>
        </is>
      </c>
      <c r="E1" s="5" t="inlineStr">
        <is>
          <t>Owner</t>
        </is>
      </c>
      <c r="F1" s="5" t="inlineStr">
        <is>
          <t>Focus area</t>
        </is>
      </c>
      <c r="G1" s="5" t="inlineStr">
        <is>
          <t>Initiative</t>
        </is>
      </c>
      <c r="H1" s="5" t="inlineStr">
        <is>
          <t>Due date</t>
        </is>
      </c>
      <c r="I1" s="5" t="inlineStr">
        <is>
          <t>Repeats</t>
        </is>
      </c>
      <c r="J1" s="5" t="inlineStr">
        <is>
          <t>Status</t>
        </is>
      </c>
      <c r="K1" s="5" t="inlineStr">
        <is>
          <t>Completed on</t>
        </is>
      </c>
      <c r="L1" s="5" t="inlineStr">
        <is>
          <t>Notes</t>
        </is>
      </c>
    </row>
    <row r="2">
      <c r="A2" s="3" t="inlineStr">
        <is>
          <t>Q2 report to funders</t>
        </is>
      </c>
      <c r="B2" s="3" t="n"/>
      <c r="C2" s="10" t="inlineStr">
        <is>
          <t>report</t>
        </is>
      </c>
      <c r="D2" s="10" t="inlineStr">
        <is>
          <t>programme</t>
        </is>
      </c>
      <c r="E2" s="10" t="inlineStr">
        <is>
          <t>Tom Reeves</t>
        </is>
      </c>
      <c r="F2" s="10" t="inlineStr">
        <is>
          <t>Trainings</t>
        </is>
      </c>
      <c r="G2" s="10" t="n"/>
      <c r="H2" s="12" t="n">
        <v>46218</v>
      </c>
      <c r="I2" s="10" t="inlineStr">
        <is>
          <t>quarterly</t>
        </is>
      </c>
      <c r="J2" s="10" t="inlineStr">
        <is>
          <t>done</t>
        </is>
      </c>
      <c r="K2" s="12" t="n">
        <v>46217</v>
      </c>
      <c r="L2" s="10" t="n"/>
    </row>
    <row r="3">
      <c r="A3" s="3" t="inlineStr">
        <is>
          <t>Impact figures for the corporate annual report</t>
        </is>
      </c>
      <c r="B3" s="3" t="inlineStr">
        <is>
          <t>Five headline stats and two case studies, cleared for external use.</t>
        </is>
      </c>
      <c r="C3" s="10" t="inlineStr">
        <is>
          <t>report</t>
        </is>
      </c>
      <c r="D3" s="10" t="inlineStr">
        <is>
          <t>comms</t>
        </is>
      </c>
      <c r="E3" s="10" t="inlineStr">
        <is>
          <t>Priya Shah</t>
        </is>
      </c>
      <c r="F3" s="10" t="inlineStr">
        <is>
          <t>Trainings</t>
        </is>
      </c>
      <c r="G3" s="10" t="n"/>
      <c r="H3" s="12" t="n">
        <v>46280</v>
      </c>
      <c r="I3" s="10" t="inlineStr">
        <is>
          <t>none</t>
        </is>
      </c>
      <c r="J3" s="10" t="inlineStr">
        <is>
          <t>open</t>
        </is>
      </c>
      <c r="K3" s="12" t="n"/>
      <c r="L3" s="10" t="n"/>
    </row>
    <row r="4">
      <c r="A4" s="3" t="inlineStr">
        <is>
          <t>Renew analytics toolkit vendor contract</t>
        </is>
      </c>
      <c r="B4" s="3" t="inlineStr">
        <is>
          <t>Current licence ends in October. Vendor has proposed a 12% increase.</t>
        </is>
      </c>
      <c r="C4" s="10" t="inlineStr">
        <is>
          <t>contract</t>
        </is>
      </c>
      <c r="D4" s="10" t="inlineStr">
        <is>
          <t>programme</t>
        </is>
      </c>
      <c r="E4" s="10" t="inlineStr">
        <is>
          <t>Nadia Hassan</t>
        </is>
      </c>
      <c r="F4" s="10" t="inlineStr">
        <is>
          <t>Trainings</t>
        </is>
      </c>
      <c r="G4" s="10" t="inlineStr">
        <is>
          <t>Newsroom Digital Skills Training</t>
        </is>
      </c>
      <c r="H4" s="12" t="n">
        <v>46285</v>
      </c>
      <c r="I4" s="10" t="inlineStr">
        <is>
          <t>none</t>
        </is>
      </c>
      <c r="J4" s="10" t="inlineStr">
        <is>
          <t>in-progress</t>
        </is>
      </c>
      <c r="K4" s="12" t="n"/>
      <c r="L4" s="10" t="n"/>
    </row>
    <row r="5">
      <c r="A5" s="3" t="inlineStr">
        <is>
          <t>Sign off champions certification</t>
        </is>
      </c>
      <c r="B5" s="3" t="n"/>
      <c r="C5" s="10" t="inlineStr">
        <is>
          <t>approval</t>
        </is>
      </c>
      <c r="D5" s="10" t="inlineStr">
        <is>
          <t>programme</t>
        </is>
      </c>
      <c r="E5" s="10" t="inlineStr">
        <is>
          <t>Tom Reeves</t>
        </is>
      </c>
      <c r="F5" s="10" t="inlineStr">
        <is>
          <t>Trainings</t>
        </is>
      </c>
      <c r="G5" s="10" t="inlineStr">
        <is>
          <t>Newsroom Champions (internal)</t>
        </is>
      </c>
      <c r="H5" s="12" t="n">
        <v>46291</v>
      </c>
      <c r="I5" s="10" t="inlineStr">
        <is>
          <t>none</t>
        </is>
      </c>
      <c r="J5" s="10" t="inlineStr">
        <is>
          <t>open</t>
        </is>
      </c>
      <c r="K5" s="12" t="n"/>
      <c r="L5" s="10" t="n"/>
    </row>
    <row r="6">
      <c r="A6" s="3" t="inlineStr">
        <is>
          <t>Approve monthly expenses</t>
        </is>
      </c>
      <c r="B6" s="3" t="n"/>
      <c r="C6" s="10" t="inlineStr">
        <is>
          <t>approval</t>
        </is>
      </c>
      <c r="D6" s="10" t="inlineStr">
        <is>
          <t>programme</t>
        </is>
      </c>
      <c r="E6" s="10" t="inlineStr">
        <is>
          <t>Nadia Hassan</t>
        </is>
      </c>
      <c r="F6" s="10" t="inlineStr">
        <is>
          <t>Trainings</t>
        </is>
      </c>
      <c r="G6" s="10" t="n"/>
      <c r="H6" s="12" t="n">
        <v>46295</v>
      </c>
      <c r="I6" s="10" t="inlineStr">
        <is>
          <t>monthly</t>
        </is>
      </c>
      <c r="J6" s="10" t="inlineStr">
        <is>
          <t>open</t>
        </is>
      </c>
      <c r="K6" s="12" t="n"/>
      <c r="L6" s="10" t="n"/>
    </row>
    <row r="7">
      <c r="A7" s="3" t="inlineStr">
        <is>
          <t>Policy briefing: local news and democracy</t>
        </is>
      </c>
      <c r="B7" s="3" t="inlineStr">
        <is>
          <t>Briefing for the ministry roundtable, using headline figures and newsroom case studies.</t>
        </is>
      </c>
      <c r="C7" s="10" t="inlineStr">
        <is>
          <t>report</t>
        </is>
      </c>
      <c r="D7" s="10" t="inlineStr">
        <is>
          <t>gapp</t>
        </is>
      </c>
      <c r="E7" s="10" t="inlineStr">
        <is>
          <t>Daniel Mensah</t>
        </is>
      </c>
      <c r="F7" s="10" t="inlineStr">
        <is>
          <t>Trainings</t>
        </is>
      </c>
      <c r="G7" s="10" t="n"/>
      <c r="H7" s="12" t="n">
        <v>46297</v>
      </c>
      <c r="I7" s="10" t="inlineStr">
        <is>
          <t>none</t>
        </is>
      </c>
      <c r="J7" s="10" t="inlineStr">
        <is>
          <t>in-progress</t>
        </is>
      </c>
      <c r="K7" s="12" t="n"/>
      <c r="L7" s="10" t="n"/>
    </row>
    <row r="8">
      <c r="A8" s="3" t="inlineStr">
        <is>
          <t>Q4 recruitment plan for training cohorts</t>
        </is>
      </c>
      <c r="B8" s="3" t="n"/>
      <c r="C8" s="10" t="inlineStr">
        <is>
          <t>admin</t>
        </is>
      </c>
      <c r="D8" s="10" t="inlineStr">
        <is>
          <t>marketing</t>
        </is>
      </c>
      <c r="E8" s="10" t="inlineStr">
        <is>
          <t>Sofia Lindqvist</t>
        </is>
      </c>
      <c r="F8" s="10" t="inlineStr">
        <is>
          <t>Trainings</t>
        </is>
      </c>
      <c r="G8" s="10" t="inlineStr">
        <is>
          <t>Newsroom Digital Skills Training</t>
        </is>
      </c>
      <c r="H8" s="12" t="n">
        <v>46305</v>
      </c>
      <c r="I8" s="10" t="inlineStr">
        <is>
          <t>none</t>
        </is>
      </c>
      <c r="J8" s="10" t="inlineStr">
        <is>
          <t>open</t>
        </is>
      </c>
      <c r="K8" s="12" t="n"/>
      <c r="L8" s="10" t="n"/>
    </row>
    <row r="9">
      <c r="A9" s="3" t="inlineStr">
        <is>
          <t>Q3 report to funders</t>
        </is>
      </c>
      <c r="B9" s="3" t="inlineStr">
        <is>
          <t>Progress against targets, spend and case studies. Use the Q3 snapshot.</t>
        </is>
      </c>
      <c r="C9" s="10" t="inlineStr">
        <is>
          <t>report</t>
        </is>
      </c>
      <c r="D9" s="10" t="inlineStr">
        <is>
          <t>programme</t>
        </is>
      </c>
      <c r="E9" s="10" t="inlineStr">
        <is>
          <t>Tom Reeves</t>
        </is>
      </c>
      <c r="F9" s="10" t="inlineStr">
        <is>
          <t>Trainings</t>
        </is>
      </c>
      <c r="G9" s="10" t="n"/>
      <c r="H9" s="12" t="n">
        <v>46310</v>
      </c>
      <c r="I9" s="10" t="inlineStr">
        <is>
          <t>quarterly</t>
        </is>
      </c>
      <c r="J9" s="10" t="inlineStr">
        <is>
          <t>open</t>
        </is>
      </c>
      <c r="K9" s="12" t="n"/>
      <c r="L9" s="10" t="n"/>
    </row>
    <row r="10">
      <c r="A10" s="3" t="inlineStr">
        <is>
          <t>Grant agreements for cohort 4 newsrooms</t>
        </is>
      </c>
      <c r="B10" s="3" t="n"/>
      <c r="C10" s="10" t="inlineStr">
        <is>
          <t>contract</t>
        </is>
      </c>
      <c r="D10" s="10" t="inlineStr">
        <is>
          <t>programme</t>
        </is>
      </c>
      <c r="E10" s="10" t="inlineStr">
        <is>
          <t>Tom Reeves</t>
        </is>
      </c>
      <c r="F10" s="10" t="inlineStr">
        <is>
          <t>Trainings</t>
        </is>
      </c>
      <c r="G10" s="10" t="inlineStr">
        <is>
          <t>Newsroom Digital Skills Training</t>
        </is>
      </c>
      <c r="H10" s="12" t="n">
        <v>46326</v>
      </c>
      <c r="I10" s="10" t="inlineStr">
        <is>
          <t>none</t>
        </is>
      </c>
      <c r="J10" s="10" t="inlineStr">
        <is>
          <t>open</t>
        </is>
      </c>
      <c r="K10" s="12" t="n"/>
      <c r="L10" s="10" t="n"/>
    </row>
    <row r="11">
      <c r="A11" s="3" t="inlineStr">
        <is>
          <t>Safeguarding and data protection review</t>
        </is>
      </c>
      <c r="B11" s="3" t="n"/>
      <c r="C11" s="10" t="inlineStr">
        <is>
          <t>compliance</t>
        </is>
      </c>
      <c r="D11" s="10" t="inlineStr">
        <is>
          <t>programme</t>
        </is>
      </c>
      <c r="E11" s="10" t="inlineStr">
        <is>
          <t>Nadia Hassan</t>
        </is>
      </c>
      <c r="F11" s="10" t="inlineStr">
        <is>
          <t>Trainings</t>
        </is>
      </c>
      <c r="G11" s="10" t="n"/>
      <c r="H11" s="12" t="n">
        <v>46356</v>
      </c>
      <c r="I11" s="10" t="inlineStr">
        <is>
          <t>annually</t>
        </is>
      </c>
      <c r="J11" s="10" t="inlineStr">
        <is>
          <t>open</t>
        </is>
      </c>
      <c r="K11" s="12" t="n"/>
      <c r="L11" s="10" t="n"/>
    </row>
    <row r="12">
      <c r="A12" s="3" t="inlineStr">
        <is>
          <t>Renew partner tool agreements for 2027</t>
        </is>
      </c>
      <c r="B12" s="3" t="inlineStr">
        <is>
          <t>Three partner agreements end in December.</t>
        </is>
      </c>
      <c r="C12" s="10" t="inlineStr">
        <is>
          <t>contract</t>
        </is>
      </c>
      <c r="D12" s="10" t="inlineStr">
        <is>
          <t>programme</t>
        </is>
      </c>
      <c r="E12" s="10" t="inlineStr">
        <is>
          <t>Tom Reeves</t>
        </is>
      </c>
      <c r="F12" s="10" t="inlineStr">
        <is>
          <t>Product &amp; Technology Partnerships</t>
        </is>
      </c>
      <c r="G12" s="10" t="inlineStr">
        <is>
          <t>Newsroom Tools Partnership</t>
        </is>
      </c>
      <c r="H12" s="12" t="n">
        <v>46325</v>
      </c>
      <c r="I12" s="10" t="inlineStr">
        <is>
          <t>none</t>
        </is>
      </c>
      <c r="J12" s="10" t="inlineStr">
        <is>
          <t>open</t>
        </is>
      </c>
      <c r="K12" s="12" t="n"/>
      <c r="L12" s="10" t="n"/>
    </row>
    <row r="13">
      <c r="A13" s="3" t="inlineStr">
        <is>
          <t>Monthly partner performance review</t>
        </is>
      </c>
      <c r="B13" s="3" t="n"/>
      <c r="C13" s="10" t="inlineStr">
        <is>
          <t>report</t>
        </is>
      </c>
      <c r="D13" s="10" t="inlineStr">
        <is>
          <t>programme</t>
        </is>
      </c>
      <c r="E13" s="10" t="inlineStr">
        <is>
          <t>Tom Reeves</t>
        </is>
      </c>
      <c r="F13" s="10" t="inlineStr">
        <is>
          <t>Product &amp; Technology Partnerships</t>
        </is>
      </c>
      <c r="G13" s="10" t="inlineStr">
        <is>
          <t>Newsroom Tools Partnership</t>
        </is>
      </c>
      <c r="H13" s="12" t="n">
        <v>46290</v>
      </c>
      <c r="I13" s="10" t="inlineStr">
        <is>
          <t>monthly</t>
        </is>
      </c>
      <c r="J13" s="10" t="inlineStr">
        <is>
          <t>open</t>
        </is>
      </c>
      <c r="K13" s="12" t="n"/>
      <c r="L13" s="10" t="n"/>
    </row>
    <row r="14">
      <c r="A14" s="3" t="inlineStr">
        <is>
          <t>Quarterly insights digest for product leadership</t>
        </is>
      </c>
      <c r="B14" s="3" t="n"/>
      <c r="C14" s="10" t="inlineStr">
        <is>
          <t>report</t>
        </is>
      </c>
      <c r="D14" s="10" t="inlineStr">
        <is>
          <t>programme</t>
        </is>
      </c>
      <c r="E14" s="10" t="inlineStr">
        <is>
          <t>Tom Reeves</t>
        </is>
      </c>
      <c r="F14" s="10" t="inlineStr">
        <is>
          <t>Product &amp; Technology Partnerships</t>
        </is>
      </c>
      <c r="G14" s="10" t="inlineStr">
        <is>
          <t>Product Feedback Loop (internal)</t>
        </is>
      </c>
      <c r="H14" s="12" t="n">
        <v>46284</v>
      </c>
      <c r="I14" s="10" t="inlineStr">
        <is>
          <t>quarterly</t>
        </is>
      </c>
      <c r="J14" s="10" t="inlineStr">
        <is>
          <t>open</t>
        </is>
      </c>
      <c r="K14" s="12" t="n"/>
      <c r="L14" s="10" t="n"/>
    </row>
    <row r="15">
      <c r="A15" s="3" t="inlineStr">
        <is>
          <t>Publish brief 4: young audiences</t>
        </is>
      </c>
      <c r="B15" s="3" t="n"/>
      <c r="C15" s="10" t="inlineStr">
        <is>
          <t>report</t>
        </is>
      </c>
      <c r="D15" s="10" t="inlineStr">
        <is>
          <t>programme</t>
        </is>
      </c>
      <c r="E15" s="10" t="inlineStr">
        <is>
          <t>Tom Reeves</t>
        </is>
      </c>
      <c r="F15" s="10" t="inlineStr">
        <is>
          <t>Research &amp; Insights</t>
        </is>
      </c>
      <c r="G15" s="10" t="inlineStr">
        <is>
          <t>Local News Audience Study</t>
        </is>
      </c>
      <c r="H15" s="12" t="n">
        <v>46315</v>
      </c>
      <c r="I15" s="10" t="inlineStr">
        <is>
          <t>none</t>
        </is>
      </c>
      <c r="J15" s="10" t="inlineStr">
        <is>
          <t>open</t>
        </is>
      </c>
      <c r="K15" s="12" t="n"/>
      <c r="L15" s="10" t="n"/>
    </row>
    <row r="16">
      <c r="A16" s="3" t="inlineStr">
        <is>
          <t>Press launch plan for the full report</t>
        </is>
      </c>
      <c r="B16" s="3" t="n"/>
      <c r="C16" s="10" t="inlineStr">
        <is>
          <t>admin</t>
        </is>
      </c>
      <c r="D16" s="10" t="inlineStr">
        <is>
          <t>comms</t>
        </is>
      </c>
      <c r="E16" s="10" t="inlineStr">
        <is>
          <t>Priya Shah</t>
        </is>
      </c>
      <c r="F16" s="10" t="inlineStr">
        <is>
          <t>Research &amp; Insights</t>
        </is>
      </c>
      <c r="G16" s="10" t="inlineStr">
        <is>
          <t>Local News Audience Study</t>
        </is>
      </c>
      <c r="H16" s="12" t="n">
        <v>46301</v>
      </c>
      <c r="I16" s="10" t="inlineStr">
        <is>
          <t>none</t>
        </is>
      </c>
      <c r="J16" s="10" t="inlineStr">
        <is>
          <t>open</t>
        </is>
      </c>
      <c r="K16" s="12" t="n"/>
      <c r="L16" s="10" t="n"/>
    </row>
    <row r="17">
      <c r="A17" s="3" t="inlineStr">
        <is>
          <t>Confirm summit venue contract</t>
        </is>
      </c>
      <c r="B17" s="3" t="n"/>
      <c r="C17" s="10" t="inlineStr">
        <is>
          <t>contract</t>
        </is>
      </c>
      <c r="D17" s="10" t="inlineStr">
        <is>
          <t>programme</t>
        </is>
      </c>
      <c r="E17" s="10" t="inlineStr">
        <is>
          <t>Nadia Hassan</t>
        </is>
      </c>
      <c r="F17" s="10" t="inlineStr">
        <is>
          <t>Events &amp; Convenings</t>
        </is>
      </c>
      <c r="G17" s="10" t="inlineStr">
        <is>
          <t>Global News Summit 2026</t>
        </is>
      </c>
      <c r="H17" s="12" t="n">
        <v>46295</v>
      </c>
      <c r="I17" s="10" t="inlineStr">
        <is>
          <t>none</t>
        </is>
      </c>
      <c r="J17" s="10" t="inlineStr">
        <is>
          <t>in-progress</t>
        </is>
      </c>
      <c r="K17" s="12" t="n"/>
      <c r="L17" s="10" t="n"/>
    </row>
    <row r="18">
      <c r="A18" s="3" t="inlineStr">
        <is>
          <t>Summit registration campaign, phase 2</t>
        </is>
      </c>
      <c r="B18" s="3" t="n"/>
      <c r="C18" s="10" t="inlineStr">
        <is>
          <t>admin</t>
        </is>
      </c>
      <c r="D18" s="10" t="inlineStr">
        <is>
          <t>marketing</t>
        </is>
      </c>
      <c r="E18" s="10" t="inlineStr">
        <is>
          <t>Sofia Lindqvist</t>
        </is>
      </c>
      <c r="F18" s="10" t="inlineStr">
        <is>
          <t>Events &amp; Convenings</t>
        </is>
      </c>
      <c r="G18" s="10" t="inlineStr">
        <is>
          <t>Global News Summit 2026</t>
        </is>
      </c>
      <c r="H18" s="12" t="n">
        <v>46296</v>
      </c>
      <c r="I18" s="10" t="inlineStr">
        <is>
          <t>none</t>
        </is>
      </c>
      <c r="J18" s="10" t="inlineStr">
        <is>
          <t>open</t>
        </is>
      </c>
      <c r="K18" s="12" t="n"/>
      <c r="L18" s="10" t="n"/>
    </row>
    <row r="19">
      <c r="A19" s="3" t="inlineStr">
        <is>
          <t>Summit accessibility and safeguarding plan</t>
        </is>
      </c>
      <c r="B19" s="3" t="n"/>
      <c r="C19" s="10" t="inlineStr">
        <is>
          <t>compliance</t>
        </is>
      </c>
      <c r="D19" s="10" t="inlineStr">
        <is>
          <t>programme</t>
        </is>
      </c>
      <c r="E19" s="10" t="inlineStr">
        <is>
          <t>Nadia Hassan</t>
        </is>
      </c>
      <c r="F19" s="10" t="inlineStr">
        <is>
          <t>Events &amp; Convenings</t>
        </is>
      </c>
      <c r="G19" s="10" t="inlineStr">
        <is>
          <t>Global News Summit 2026</t>
        </is>
      </c>
      <c r="H19" s="12" t="n">
        <v>46310</v>
      </c>
      <c r="I19" s="10" t="inlineStr">
        <is>
          <t>none</t>
        </is>
      </c>
      <c r="J19" s="10" t="inlineStr">
        <is>
          <t>open</t>
        </is>
      </c>
      <c r="K19" s="12" t="n"/>
      <c r="L19" s="10" t="n"/>
    </row>
    <row r="20">
      <c r="A20" s="3" t="inlineStr">
        <is>
          <t>Book Lunch &amp; Learn speakers for Q4</t>
        </is>
      </c>
      <c r="B20" s="3" t="n"/>
      <c r="C20" s="10" t="inlineStr">
        <is>
          <t>admin</t>
        </is>
      </c>
      <c r="D20" s="10" t="inlineStr">
        <is>
          <t>comms</t>
        </is>
      </c>
      <c r="E20" s="10" t="inlineStr">
        <is>
          <t>Priya Shah</t>
        </is>
      </c>
      <c r="F20" s="10" t="inlineStr">
        <is>
          <t>Events &amp; Convenings</t>
        </is>
      </c>
      <c r="G20" s="10" t="inlineStr">
        <is>
          <t>Lunch &amp; Learn series (internal)</t>
        </is>
      </c>
      <c r="H20" s="12" t="n">
        <v>46283</v>
      </c>
      <c r="I20" s="10" t="inlineStr">
        <is>
          <t>none</t>
        </is>
      </c>
      <c r="J20" s="10" t="inlineStr">
        <is>
          <t>open</t>
        </is>
      </c>
      <c r="K20" s="12" t="n"/>
      <c r="L20" s="10" t="n"/>
    </row>
    <row r="21">
      <c r="A21" s="3" t="inlineStr">
        <is>
          <t>Response to the local media consultation</t>
        </is>
      </c>
      <c r="B21" s="3" t="n"/>
      <c r="C21" s="10" t="inlineStr">
        <is>
          <t>report</t>
        </is>
      </c>
      <c r="D21" s="10" t="inlineStr">
        <is>
          <t>gapp</t>
        </is>
      </c>
      <c r="E21" s="10" t="inlineStr">
        <is>
          <t>Daniel Mensah</t>
        </is>
      </c>
      <c r="F21" s="10" t="inlineStr">
        <is>
          <t>Policy &amp; Public Affairs</t>
        </is>
      </c>
      <c r="G21" s="10" t="inlineStr">
        <is>
          <t>Policy Engagement on Local News</t>
        </is>
      </c>
      <c r="H21" s="12" t="n">
        <v>46277</v>
      </c>
      <c r="I21" s="10" t="inlineStr">
        <is>
          <t>none</t>
        </is>
      </c>
      <c r="J21" s="10" t="inlineStr">
        <is>
          <t>done</t>
        </is>
      </c>
      <c r="K21" s="12" t="n">
        <v>46276</v>
      </c>
      <c r="L21" s="10" t="n"/>
    </row>
    <row r="22">
      <c r="A22" s="3" t="inlineStr">
        <is>
          <t>Prepare evidence pack for the parliamentary committee</t>
        </is>
      </c>
      <c r="B22" s="3" t="n"/>
      <c r="C22" s="10" t="inlineStr">
        <is>
          <t>report</t>
        </is>
      </c>
      <c r="D22" s="10" t="inlineStr">
        <is>
          <t>gapp</t>
        </is>
      </c>
      <c r="E22" s="10" t="inlineStr">
        <is>
          <t>Daniel Mensah</t>
        </is>
      </c>
      <c r="F22" s="10" t="inlineStr">
        <is>
          <t>Policy &amp; Public Affairs</t>
        </is>
      </c>
      <c r="G22" s="10" t="inlineStr">
        <is>
          <t>Policy Engagement on Local News</t>
        </is>
      </c>
      <c r="H22" s="12" t="n">
        <v>46304</v>
      </c>
      <c r="I22" s="10" t="inlineStr">
        <is>
          <t>none</t>
        </is>
      </c>
      <c r="J22" s="10" t="inlineStr">
        <is>
          <t>in-progress</t>
        </is>
      </c>
      <c r="K22" s="12" t="n"/>
      <c r="L22" s="10" t="n"/>
    </row>
    <row r="23">
      <c r="A23" s="3" t="inlineStr">
        <is>
          <t>Quarterly policy horizon scan</t>
        </is>
      </c>
      <c r="B23" s="3" t="n"/>
      <c r="C23" s="10" t="inlineStr">
        <is>
          <t>report</t>
        </is>
      </c>
      <c r="D23" s="10" t="inlineStr">
        <is>
          <t>gapp</t>
        </is>
      </c>
      <c r="E23" s="10" t="inlineStr">
        <is>
          <t>Daniel Mensah</t>
        </is>
      </c>
      <c r="F23" s="10" t="inlineStr">
        <is>
          <t>Policy &amp; Public Affairs</t>
        </is>
      </c>
      <c r="G23" s="10" t="inlineStr">
        <is>
          <t>Policy Engagement on Local News</t>
        </is>
      </c>
      <c r="H23" s="12" t="n">
        <v>46296</v>
      </c>
      <c r="I23" s="10" t="inlineStr">
        <is>
          <t>quarterly</t>
        </is>
      </c>
      <c r="J23" s="10" t="inlineStr">
        <is>
          <t>open</t>
        </is>
      </c>
      <c r="K23" s="12" t="n"/>
      <c r="L23" s="10" t="n"/>
    </row>
  </sheetData>
  <autoFilter ref="A1:L23"/>
  <dataValidations count="7">
    <dataValidation sqref="C2:C2000" showDropDown="0" showInputMessage="0" showErrorMessage="1" allowBlank="1" errorTitle="Choose from the list" error="Pick a value from the dropdown." type="list">
      <formula1>"report,contract,approval,compliance,admin,other"</formula1>
    </dataValidation>
    <dataValidation sqref="D2:D2000" showDropDown="0" showInputMessage="0" showErrorMessage="1" allowBlank="1" errorTitle="Choose from the list" error="Pick a value from the dropdown." type="list">
      <formula1>"programme,comms,gapp,marketing"</formula1>
    </dataValidation>
    <dataValidation sqref="E2:E2000" showDropDown="0" showInputMessage="0" showErrorMessage="1" allowBlank="1" errorTitle="Choose from the list" error="Pick a value from the dropdown." type="list">
      <formula1>People!$A$2:$A$300</formula1>
    </dataValidation>
    <dataValidation sqref="F2:F2000" showDropDown="0" showInputMessage="0" showErrorMessage="1" allowBlank="1" errorTitle="Choose from the list" error="Pick a value from the dropdown." type="list">
      <formula1>'Focus areas'!$A$2:$A$200</formula1>
    </dataValidation>
    <dataValidation sqref="G2:G2000" showDropDown="0" showInputMessage="0" showErrorMessage="1" allowBlank="1" errorTitle="Choose from the list" error="Pick a value from the dropdown." type="list">
      <formula1>Initiatives!$A$2:$A$500</formula1>
    </dataValidation>
    <dataValidation sqref="I2:I2000" showDropDown="0" showInputMessage="0" showErrorMessage="1" allowBlank="1" errorTitle="Choose from the list" error="Pick a value from the dropdown." type="list">
      <formula1>"none,monthly,quarterly,annually"</formula1>
    </dataValidation>
    <dataValidation sqref="J2:J2000" showDropDown="0" showInputMessage="0" showErrorMessage="1" allowBlank="1" errorTitle="Choose from the list" error="Pick a value from the dropdown." type="list">
      <formula1>"open,in-progress,blocked,done"</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500"/>
  <sheetViews>
    <sheetView workbookViewId="0">
      <pane ySplit="1" topLeftCell="A2" activePane="bottomLeft" state="frozen"/>
      <selection pane="bottomLeft" activeCell="A1" sqref="A1"/>
    </sheetView>
  </sheetViews>
  <sheetFormatPr baseColWidth="8" defaultRowHeight="15"/>
  <cols>
    <col width="44" customWidth="1" min="1" max="1"/>
    <col width="36" customWidth="1" min="2" max="2"/>
    <col width="11" customWidth="1" min="3" max="3"/>
    <col width="10" customWidth="1" min="4" max="4"/>
    <col width="11" customWidth="1" min="5" max="5"/>
    <col width="18" customWidth="1" min="6" max="6"/>
    <col width="28" customWidth="1" min="7" max="7"/>
    <col width="30" customWidth="1" min="8" max="8"/>
    <col width="12" customWidth="1" min="9" max="9"/>
    <col width="50" customWidth="1" min="10" max="10"/>
    <col width="11" customWidth="1" min="11" max="11"/>
    <col width="12" customWidth="1" min="12" max="12"/>
  </cols>
  <sheetData>
    <row r="1" ht="30" customHeight="1">
      <c r="A1" s="5" t="inlineStr">
        <is>
          <t>Title</t>
        </is>
      </c>
      <c r="B1" s="5" t="inlineStr">
        <is>
          <t>Description</t>
        </is>
      </c>
      <c r="C1" s="5" t="inlineStr">
        <is>
          <t>Likelihood (1-5)</t>
        </is>
      </c>
      <c r="D1" s="5" t="inlineStr">
        <is>
          <t>Impact (1-5)</t>
        </is>
      </c>
      <c r="E1" s="5" t="inlineStr">
        <is>
          <t>Status</t>
        </is>
      </c>
      <c r="F1" s="5" t="inlineStr">
        <is>
          <t>Owner</t>
        </is>
      </c>
      <c r="G1" s="5" t="inlineStr">
        <is>
          <t>Focus area</t>
        </is>
      </c>
      <c r="H1" s="5" t="inlineStr">
        <is>
          <t>Initiative</t>
        </is>
      </c>
      <c r="I1" s="5" t="inlineStr">
        <is>
          <t>Next review</t>
        </is>
      </c>
      <c r="J1" s="5" t="inlineStr">
        <is>
          <t>Mitigation</t>
        </is>
      </c>
      <c r="K1" s="13" t="inlineStr">
        <is>
          <t>Score (calculated)</t>
        </is>
      </c>
      <c r="L1" s="13" t="inlineStr">
        <is>
          <t>Rating (calculated)</t>
        </is>
      </c>
    </row>
    <row r="2">
      <c r="A2" s="3" t="inlineStr">
        <is>
          <t>Digital audience growth misses target</t>
        </is>
      </c>
      <c r="B2" s="3" t="inlineStr">
        <is>
          <t>Audience growth is off track and its leading indicator (weekly analytics use) is behind.</t>
        </is>
      </c>
      <c r="C2" s="10" t="n">
        <v>4</v>
      </c>
      <c r="D2" s="10" t="n">
        <v>4</v>
      </c>
      <c r="E2" s="10" t="inlineStr">
        <is>
          <t>open</t>
        </is>
      </c>
      <c r="F2" s="10" t="inlineStr">
        <is>
          <t>Tom Reeves</t>
        </is>
      </c>
      <c r="G2" s="10" t="inlineStr">
        <is>
          <t>Trainings</t>
        </is>
      </c>
      <c r="H2" s="10" t="inlineStr">
        <is>
          <t>Newsroom Digital Skills Training</t>
        </is>
      </c>
      <c r="I2" s="12" t="n">
        <v>46296</v>
      </c>
      <c r="J2" s="3" t="inlineStr">
        <is>
          <t>One-to-one analytics coaching for the 18 newsrooms not yet using the dashboard weekly.</t>
        </is>
      </c>
      <c r="K2" s="15">
        <f>IF(AND(ISNUMBER(C2),ISNUMBER(D2)),C2*D2,"")</f>
        <v/>
      </c>
      <c r="L2" s="14">
        <f>IF(K2="","",IF(K2&gt;=15,"High",IF(K2&gt;=8,"Medium","Low")))</f>
        <v/>
      </c>
    </row>
    <row r="3">
      <c r="A3" s="3" t="inlineStr">
        <is>
          <t>Partner newsrooms drop out before cohort 4</t>
        </is>
      </c>
      <c r="B3" s="3" t="n"/>
      <c r="C3" s="10" t="n">
        <v>3</v>
      </c>
      <c r="D3" s="10" t="n">
        <v>4</v>
      </c>
      <c r="E3" s="10" t="inlineStr">
        <is>
          <t>open</t>
        </is>
      </c>
      <c r="F3" s="10" t="inlineStr">
        <is>
          <t>Tom Reeves</t>
        </is>
      </c>
      <c r="G3" s="10" t="inlineStr">
        <is>
          <t>Trainings</t>
        </is>
      </c>
      <c r="H3" s="10" t="inlineStr">
        <is>
          <t>Newsroom Digital Skills Training</t>
        </is>
      </c>
      <c r="I3" s="12" t="n">
        <v>46310</v>
      </c>
      <c r="J3" s="3" t="inlineStr">
        <is>
          <t>Monthly check-ins; grant tranches tied to attendance; peer mentoring pairs.</t>
        </is>
      </c>
      <c r="K3" s="15">
        <f>IF(AND(ISNUMBER(C3),ISNUMBER(D3)),C3*D3,"")</f>
        <v/>
      </c>
      <c r="L3" s="14">
        <f>IF(K3="","",IF(K3&gt;=15,"High",IF(K3&gt;=8,"Medium","Low")))</f>
        <v/>
      </c>
    </row>
    <row r="4">
      <c r="A4" s="3" t="inlineStr">
        <is>
          <t>Toolkit vendor price rise at renewal</t>
        </is>
      </c>
      <c r="B4" s="3" t="n"/>
      <c r="C4" s="10" t="n">
        <v>4</v>
      </c>
      <c r="D4" s="10" t="n">
        <v>3</v>
      </c>
      <c r="E4" s="10" t="inlineStr">
        <is>
          <t>open</t>
        </is>
      </c>
      <c r="F4" s="10" t="inlineStr">
        <is>
          <t>Nadia Hassan</t>
        </is>
      </c>
      <c r="G4" s="10" t="inlineStr">
        <is>
          <t>Trainings</t>
        </is>
      </c>
      <c r="H4" s="10" t="inlineStr">
        <is>
          <t>Newsroom Digital Skills Training</t>
        </is>
      </c>
      <c r="I4" s="12" t="n">
        <v>46280</v>
      </c>
      <c r="J4" s="3" t="inlineStr">
        <is>
          <t>Negotiate a two-year rate; price an alternative supplier by end of September.</t>
        </is>
      </c>
      <c r="K4" s="15">
        <f>IF(AND(ISNUMBER(C4),ISNUMBER(D4)),C4*D4,"")</f>
        <v/>
      </c>
      <c r="L4" s="14">
        <f>IF(K4="","",IF(K4&gt;=15,"High",IF(K4&gt;=8,"Medium","Low")))</f>
        <v/>
      </c>
    </row>
    <row r="5">
      <c r="A5" s="3" t="inlineStr">
        <is>
          <t>Data protection issue with shared newsroom analytics</t>
        </is>
      </c>
      <c r="B5" s="3" t="n"/>
      <c r="C5" s="10" t="n">
        <v>2</v>
      </c>
      <c r="D5" s="10" t="n">
        <v>5</v>
      </c>
      <c r="E5" s="10" t="inlineStr">
        <is>
          <t>mitigating</t>
        </is>
      </c>
      <c r="F5" s="10" t="inlineStr">
        <is>
          <t>Nadia Hassan</t>
        </is>
      </c>
      <c r="G5" s="10" t="inlineStr">
        <is>
          <t>Trainings</t>
        </is>
      </c>
      <c r="H5" s="10" t="n"/>
      <c r="I5" s="12" t="n">
        <v>46356</v>
      </c>
      <c r="J5" s="3" t="inlineStr">
        <is>
          <t>Data processing agreements signed with all newsrooms; access reviewed quarterly.</t>
        </is>
      </c>
      <c r="K5" s="15">
        <f>IF(AND(ISNUMBER(C5),ISNUMBER(D5)),C5*D5,"")</f>
        <v/>
      </c>
      <c r="L5" s="14">
        <f>IF(K5="","",IF(K5&gt;=15,"High",IF(K5&gt;=8,"Medium","Low")))</f>
        <v/>
      </c>
    </row>
    <row r="6">
      <c r="A6" s="3" t="inlineStr">
        <is>
          <t>Internal budget underspent and returned at year end</t>
        </is>
      </c>
      <c r="B6" s="3" t="n"/>
      <c r="C6" s="10" t="n">
        <v>3</v>
      </c>
      <c r="D6" s="10" t="n">
        <v>2</v>
      </c>
      <c r="E6" s="10" t="inlineStr">
        <is>
          <t>open</t>
        </is>
      </c>
      <c r="F6" s="10" t="inlineStr">
        <is>
          <t>Nadia Hassan</t>
        </is>
      </c>
      <c r="G6" s="10" t="inlineStr">
        <is>
          <t>Trainings</t>
        </is>
      </c>
      <c r="H6" s="10" t="inlineStr">
        <is>
          <t>Newsroom Champions (internal)</t>
        </is>
      </c>
      <c r="I6" s="12" t="n">
        <v>46326</v>
      </c>
      <c r="J6" s="3" t="inlineStr">
        <is>
          <t>Extend champions sessions to regional offices from October.</t>
        </is>
      </c>
      <c r="K6" s="15">
        <f>IF(AND(ISNUMBER(C6),ISNUMBER(D6)),C6*D6,"")</f>
        <v/>
      </c>
      <c r="L6" s="14">
        <f>IF(K6="","",IF(K6&gt;=15,"High",IF(K6&gt;=8,"Medium","Low")))</f>
        <v/>
      </c>
    </row>
    <row r="7">
      <c r="A7" s="3" t="inlineStr">
        <is>
          <t>Ministry roundtable postponed</t>
        </is>
      </c>
      <c r="B7" s="3" t="n"/>
      <c r="C7" s="10" t="n">
        <v>2</v>
      </c>
      <c r="D7" s="10" t="n">
        <v>3</v>
      </c>
      <c r="E7" s="10" t="inlineStr">
        <is>
          <t>open</t>
        </is>
      </c>
      <c r="F7" s="10" t="inlineStr">
        <is>
          <t>Daniel Mensah</t>
        </is>
      </c>
      <c r="G7" s="10" t="inlineStr">
        <is>
          <t>Trainings</t>
        </is>
      </c>
      <c r="H7" s="10" t="n"/>
      <c r="I7" s="12" t="n">
        <v>46296</v>
      </c>
      <c r="J7" s="3" t="inlineStr">
        <is>
          <t>Prepare a written briefing that can be sent if the meeting slips.</t>
        </is>
      </c>
      <c r="K7" s="15">
        <f>IF(AND(ISNUMBER(C7),ISNUMBER(D7)),C7*D7,"")</f>
        <v/>
      </c>
      <c r="L7" s="14">
        <f>IF(K7="","",IF(K7&gt;=15,"High",IF(K7&gt;=8,"Medium","Low")))</f>
        <v/>
      </c>
    </row>
    <row r="8">
      <c r="A8" s="3" t="inlineStr">
        <is>
          <t>Partner changes tool pricing for newsrooms</t>
        </is>
      </c>
      <c r="B8" s="3" t="n"/>
      <c r="C8" s="10" t="n">
        <v>3</v>
      </c>
      <c r="D8" s="10" t="n">
        <v>4</v>
      </c>
      <c r="E8" s="10" t="inlineStr">
        <is>
          <t>open</t>
        </is>
      </c>
      <c r="F8" s="10" t="inlineStr">
        <is>
          <t>Tom Reeves</t>
        </is>
      </c>
      <c r="G8" s="10" t="inlineStr">
        <is>
          <t>Product &amp; Technology Partnerships</t>
        </is>
      </c>
      <c r="H8" s="10" t="inlineStr">
        <is>
          <t>Newsroom Tools Partnership</t>
        </is>
      </c>
      <c r="I8" s="12" t="n">
        <v>46310</v>
      </c>
      <c r="J8" s="3" t="inlineStr">
        <is>
          <t>Agree fixed pricing to the end of 2027 in the renewal.</t>
        </is>
      </c>
      <c r="K8" s="15">
        <f>IF(AND(ISNUMBER(C8),ISNUMBER(D8)),C8*D8,"")</f>
        <v/>
      </c>
      <c r="L8" s="14">
        <f>IF(K8="","",IF(K8&gt;=15,"High",IF(K8&gt;=8,"Medium","Low")))</f>
        <v/>
      </c>
    </row>
    <row r="9">
      <c r="A9" s="3" t="inlineStr">
        <is>
          <t>Low weekly use means partners lose interest</t>
        </is>
      </c>
      <c r="B9" s="3" t="n"/>
      <c r="C9" s="10" t="n">
        <v>3</v>
      </c>
      <c r="D9" s="10" t="n">
        <v>3</v>
      </c>
      <c r="E9" s="10" t="inlineStr">
        <is>
          <t>open</t>
        </is>
      </c>
      <c r="F9" s="10" t="inlineStr">
        <is>
          <t>Tom Reeves</t>
        </is>
      </c>
      <c r="G9" s="10" t="inlineStr">
        <is>
          <t>Product &amp; Technology Partnerships</t>
        </is>
      </c>
      <c r="H9" s="10" t="inlineStr">
        <is>
          <t>Newsroom Tools Partnership</t>
        </is>
      </c>
      <c r="I9" s="12" t="n">
        <v>46296</v>
      </c>
      <c r="J9" s="3" t="inlineStr">
        <is>
          <t>Tool clinics for newsrooms below weekly use; share usage data with partners monthly.</t>
        </is>
      </c>
      <c r="K9" s="15">
        <f>IF(AND(ISNUMBER(C9),ISNUMBER(D9)),C9*D9,"")</f>
        <v/>
      </c>
      <c r="L9" s="14">
        <f>IF(K9="","",IF(K9&gt;=15,"High",IF(K9&gt;=8,"Medium","Low")))</f>
        <v/>
      </c>
    </row>
    <row r="10">
      <c r="A10" s="3" t="inlineStr">
        <is>
          <t>Product teams deprioritise newsroom requests</t>
        </is>
      </c>
      <c r="B10" s="3" t="n"/>
      <c r="C10" s="10" t="n">
        <v>3</v>
      </c>
      <c r="D10" s="10" t="n">
        <v>3</v>
      </c>
      <c r="E10" s="10" t="inlineStr">
        <is>
          <t>open</t>
        </is>
      </c>
      <c r="F10" s="10" t="inlineStr">
        <is>
          <t>Tom Reeves</t>
        </is>
      </c>
      <c r="G10" s="10" t="inlineStr">
        <is>
          <t>Product &amp; Technology Partnerships</t>
        </is>
      </c>
      <c r="H10" s="10" t="inlineStr">
        <is>
          <t>Product Feedback Loop (internal)</t>
        </is>
      </c>
      <c r="I10" s="12" t="n">
        <v>46326</v>
      </c>
      <c r="J10" s="3" t="inlineStr">
        <is>
          <t>Agree two newsroom features per quarter with product leadership.</t>
        </is>
      </c>
      <c r="K10" s="15">
        <f>IF(AND(ISNUMBER(C10),ISNUMBER(D10)),C10*D10,"")</f>
        <v/>
      </c>
      <c r="L10" s="14">
        <f>IF(K10="","",IF(K10&gt;=15,"High",IF(K10&gt;=8,"Medium","Low")))</f>
        <v/>
      </c>
    </row>
    <row r="11">
      <c r="A11" s="3" t="inlineStr">
        <is>
          <t>Report launch misses the policy window</t>
        </is>
      </c>
      <c r="B11" s="3" t="n"/>
      <c r="C11" s="10" t="n">
        <v>2</v>
      </c>
      <c r="D11" s="10" t="n">
        <v>4</v>
      </c>
      <c r="E11" s="10" t="inlineStr">
        <is>
          <t>open</t>
        </is>
      </c>
      <c r="F11" s="10" t="inlineStr">
        <is>
          <t>Tom Reeves</t>
        </is>
      </c>
      <c r="G11" s="10" t="inlineStr">
        <is>
          <t>Research &amp; Insights</t>
        </is>
      </c>
      <c r="H11" s="10" t="inlineStr">
        <is>
          <t>Local News Audience Study</t>
        </is>
      </c>
      <c r="I11" s="12" t="n">
        <v>46305</v>
      </c>
      <c r="J11" s="3" t="inlineStr">
        <is>
          <t>Publish briefs early and share embargoed findings with GAPP.</t>
        </is>
      </c>
      <c r="K11" s="15">
        <f>IF(AND(ISNUMBER(C11),ISNUMBER(D11)),C11*D11,"")</f>
        <v/>
      </c>
      <c r="L11" s="14">
        <f>IF(K11="","",IF(K11&gt;=15,"High",IF(K11&gt;=8,"Medium","Low")))</f>
        <v/>
      </c>
    </row>
    <row r="12">
      <c r="A12" s="3" t="inlineStr">
        <is>
          <t>Summit registrations fall short of 800</t>
        </is>
      </c>
      <c r="B12" s="3" t="n"/>
      <c r="C12" s="10" t="n">
        <v>3</v>
      </c>
      <c r="D12" s="10" t="n">
        <v>4</v>
      </c>
      <c r="E12" s="10" t="inlineStr">
        <is>
          <t>open</t>
        </is>
      </c>
      <c r="F12" s="10" t="inlineStr">
        <is>
          <t>Sofia Lindqvist</t>
        </is>
      </c>
      <c r="G12" s="10" t="inlineStr">
        <is>
          <t>Events &amp; Convenings</t>
        </is>
      </c>
      <c r="H12" s="10" t="inlineStr">
        <is>
          <t>Global News Summit 2026</t>
        </is>
      </c>
      <c r="I12" s="12" t="n">
        <v>46296</v>
      </c>
      <c r="J12" s="3" t="inlineStr">
        <is>
          <t>Phase 2 campaign through partner newsletters; group discounts for newsrooms.</t>
        </is>
      </c>
      <c r="K12" s="15">
        <f>IF(AND(ISNUMBER(C12),ISNUMBER(D12)),C12*D12,"")</f>
        <v/>
      </c>
      <c r="L12" s="14">
        <f>IF(K12="","",IF(K12&gt;=15,"High",IF(K12&gt;=8,"Medium","Low")))</f>
        <v/>
      </c>
    </row>
    <row r="13">
      <c r="A13" s="3" t="inlineStr">
        <is>
          <t>Sponsor shortfall leaves a budget gap</t>
        </is>
      </c>
      <c r="B13" s="3" t="n"/>
      <c r="C13" s="10" t="n">
        <v>4</v>
      </c>
      <c r="D13" s="10" t="n">
        <v>3</v>
      </c>
      <c r="E13" s="10" t="inlineStr">
        <is>
          <t>open</t>
        </is>
      </c>
      <c r="F13" s="10" t="inlineStr">
        <is>
          <t>Nadia Hassan</t>
        </is>
      </c>
      <c r="G13" s="10" t="inlineStr">
        <is>
          <t>Events &amp; Convenings</t>
        </is>
      </c>
      <c r="H13" s="10" t="inlineStr">
        <is>
          <t>Global News Summit 2026</t>
        </is>
      </c>
      <c r="I13" s="12" t="n">
        <v>46285</v>
      </c>
      <c r="J13" s="3" t="inlineStr">
        <is>
          <t>Scale the online track; approach two additional foundations.</t>
        </is>
      </c>
      <c r="K13" s="15">
        <f>IF(AND(ISNUMBER(C13),ISNUMBER(D13)),C13*D13,"")</f>
        <v/>
      </c>
      <c r="L13" s="14">
        <f>IF(K13="","",IF(K13&gt;=15,"High",IF(K13&gt;=8,"Medium","Low")))</f>
        <v/>
      </c>
    </row>
    <row r="14">
      <c r="A14" s="3" t="inlineStr">
        <is>
          <t>Election period limits access to officials</t>
        </is>
      </c>
      <c r="B14" s="3" t="n"/>
      <c r="C14" s="10" t="n">
        <v>3</v>
      </c>
      <c r="D14" s="10" t="n">
        <v>3</v>
      </c>
      <c r="E14" s="10" t="inlineStr">
        <is>
          <t>open</t>
        </is>
      </c>
      <c r="F14" s="10" t="inlineStr">
        <is>
          <t>Daniel Mensah</t>
        </is>
      </c>
      <c r="G14" s="10" t="inlineStr">
        <is>
          <t>Policy &amp; Public Affairs</t>
        </is>
      </c>
      <c r="H14" s="10" t="inlineStr">
        <is>
          <t>Policy Engagement on Local News</t>
        </is>
      </c>
      <c r="I14" s="12" t="n">
        <v>46327</v>
      </c>
      <c r="J14" s="3" t="inlineStr">
        <is>
          <t>Front-load briefings before the pre-election period; focus on officials, not ministers.</t>
        </is>
      </c>
      <c r="K14" s="15">
        <f>IF(AND(ISNUMBER(C14),ISNUMBER(D14)),C14*D14,"")</f>
        <v/>
      </c>
      <c r="L14" s="14">
        <f>IF(K14="","",IF(K14&gt;=15,"High",IF(K14&gt;=8,"Medium","Low")))</f>
        <v/>
      </c>
    </row>
    <row r="15">
      <c r="K15" s="15">
        <f>IF(AND(ISNUMBER(C15),ISNUMBER(D15)),C15*D15,"")</f>
        <v/>
      </c>
      <c r="L15" s="14">
        <f>IF(K15="","",IF(K15&gt;=15,"High",IF(K15&gt;=8,"Medium","Low")))</f>
        <v/>
      </c>
    </row>
    <row r="16">
      <c r="K16" s="15">
        <f>IF(AND(ISNUMBER(C16),ISNUMBER(D16)),C16*D16,"")</f>
        <v/>
      </c>
      <c r="L16" s="14">
        <f>IF(K16="","",IF(K16&gt;=15,"High",IF(K16&gt;=8,"Medium","Low")))</f>
        <v/>
      </c>
    </row>
    <row r="17">
      <c r="K17" s="15">
        <f>IF(AND(ISNUMBER(C17),ISNUMBER(D17)),C17*D17,"")</f>
        <v/>
      </c>
      <c r="L17" s="14">
        <f>IF(K17="","",IF(K17&gt;=15,"High",IF(K17&gt;=8,"Medium","Low")))</f>
        <v/>
      </c>
    </row>
    <row r="18">
      <c r="K18" s="15">
        <f>IF(AND(ISNUMBER(C18),ISNUMBER(D18)),C18*D18,"")</f>
        <v/>
      </c>
      <c r="L18" s="14">
        <f>IF(K18="","",IF(K18&gt;=15,"High",IF(K18&gt;=8,"Medium","Low")))</f>
        <v/>
      </c>
    </row>
    <row r="19">
      <c r="K19" s="15">
        <f>IF(AND(ISNUMBER(C19),ISNUMBER(D19)),C19*D19,"")</f>
        <v/>
      </c>
      <c r="L19" s="14">
        <f>IF(K19="","",IF(K19&gt;=15,"High",IF(K19&gt;=8,"Medium","Low")))</f>
        <v/>
      </c>
    </row>
    <row r="20">
      <c r="K20" s="15">
        <f>IF(AND(ISNUMBER(C20),ISNUMBER(D20)),C20*D20,"")</f>
        <v/>
      </c>
      <c r="L20" s="14">
        <f>IF(K20="","",IF(K20&gt;=15,"High",IF(K20&gt;=8,"Medium","Low")))</f>
        <v/>
      </c>
    </row>
    <row r="21">
      <c r="K21" s="15">
        <f>IF(AND(ISNUMBER(C21),ISNUMBER(D21)),C21*D21,"")</f>
        <v/>
      </c>
      <c r="L21" s="14">
        <f>IF(K21="","",IF(K21&gt;=15,"High",IF(K21&gt;=8,"Medium","Low")))</f>
        <v/>
      </c>
    </row>
    <row r="22">
      <c r="K22" s="15">
        <f>IF(AND(ISNUMBER(C22),ISNUMBER(D22)),C22*D22,"")</f>
        <v/>
      </c>
      <c r="L22" s="14">
        <f>IF(K22="","",IF(K22&gt;=15,"High",IF(K22&gt;=8,"Medium","Low")))</f>
        <v/>
      </c>
    </row>
    <row r="23">
      <c r="K23" s="15">
        <f>IF(AND(ISNUMBER(C23),ISNUMBER(D23)),C23*D23,"")</f>
        <v/>
      </c>
      <c r="L23" s="14">
        <f>IF(K23="","",IF(K23&gt;=15,"High",IF(K23&gt;=8,"Medium","Low")))</f>
        <v/>
      </c>
    </row>
    <row r="24">
      <c r="K24" s="15">
        <f>IF(AND(ISNUMBER(C24),ISNUMBER(D24)),C24*D24,"")</f>
        <v/>
      </c>
      <c r="L24" s="14">
        <f>IF(K24="","",IF(K24&gt;=15,"High",IF(K24&gt;=8,"Medium","Low")))</f>
        <v/>
      </c>
    </row>
    <row r="25">
      <c r="K25" s="15">
        <f>IF(AND(ISNUMBER(C25),ISNUMBER(D25)),C25*D25,"")</f>
        <v/>
      </c>
      <c r="L25" s="14">
        <f>IF(K25="","",IF(K25&gt;=15,"High",IF(K25&gt;=8,"Medium","Low")))</f>
        <v/>
      </c>
    </row>
    <row r="26">
      <c r="K26" s="15">
        <f>IF(AND(ISNUMBER(C26),ISNUMBER(D26)),C26*D26,"")</f>
        <v/>
      </c>
      <c r="L26" s="14">
        <f>IF(K26="","",IF(K26&gt;=15,"High",IF(K26&gt;=8,"Medium","Low")))</f>
        <v/>
      </c>
    </row>
    <row r="27">
      <c r="K27" s="15">
        <f>IF(AND(ISNUMBER(C27),ISNUMBER(D27)),C27*D27,"")</f>
        <v/>
      </c>
      <c r="L27" s="14">
        <f>IF(K27="","",IF(K27&gt;=15,"High",IF(K27&gt;=8,"Medium","Low")))</f>
        <v/>
      </c>
    </row>
    <row r="28">
      <c r="K28" s="15">
        <f>IF(AND(ISNUMBER(C28),ISNUMBER(D28)),C28*D28,"")</f>
        <v/>
      </c>
      <c r="L28" s="14">
        <f>IF(K28="","",IF(K28&gt;=15,"High",IF(K28&gt;=8,"Medium","Low")))</f>
        <v/>
      </c>
    </row>
    <row r="29">
      <c r="K29" s="15">
        <f>IF(AND(ISNUMBER(C29),ISNUMBER(D29)),C29*D29,"")</f>
        <v/>
      </c>
      <c r="L29" s="14">
        <f>IF(K29="","",IF(K29&gt;=15,"High",IF(K29&gt;=8,"Medium","Low")))</f>
        <v/>
      </c>
    </row>
    <row r="30">
      <c r="K30" s="15">
        <f>IF(AND(ISNUMBER(C30),ISNUMBER(D30)),C30*D30,"")</f>
        <v/>
      </c>
      <c r="L30" s="14">
        <f>IF(K30="","",IF(K30&gt;=15,"High",IF(K30&gt;=8,"Medium","Low")))</f>
        <v/>
      </c>
    </row>
    <row r="31">
      <c r="K31" s="15">
        <f>IF(AND(ISNUMBER(C31),ISNUMBER(D31)),C31*D31,"")</f>
        <v/>
      </c>
      <c r="L31" s="14">
        <f>IF(K31="","",IF(K31&gt;=15,"High",IF(K31&gt;=8,"Medium","Low")))</f>
        <v/>
      </c>
    </row>
    <row r="32">
      <c r="K32" s="15">
        <f>IF(AND(ISNUMBER(C32),ISNUMBER(D32)),C32*D32,"")</f>
        <v/>
      </c>
      <c r="L32" s="14">
        <f>IF(K32="","",IF(K32&gt;=15,"High",IF(K32&gt;=8,"Medium","Low")))</f>
        <v/>
      </c>
    </row>
    <row r="33">
      <c r="K33" s="15">
        <f>IF(AND(ISNUMBER(C33),ISNUMBER(D33)),C33*D33,"")</f>
        <v/>
      </c>
      <c r="L33" s="14">
        <f>IF(K33="","",IF(K33&gt;=15,"High",IF(K33&gt;=8,"Medium","Low")))</f>
        <v/>
      </c>
    </row>
    <row r="34">
      <c r="K34" s="15">
        <f>IF(AND(ISNUMBER(C34),ISNUMBER(D34)),C34*D34,"")</f>
        <v/>
      </c>
      <c r="L34" s="14">
        <f>IF(K34="","",IF(K34&gt;=15,"High",IF(K34&gt;=8,"Medium","Low")))</f>
        <v/>
      </c>
    </row>
    <row r="35">
      <c r="K35" s="15">
        <f>IF(AND(ISNUMBER(C35),ISNUMBER(D35)),C35*D35,"")</f>
        <v/>
      </c>
      <c r="L35" s="14">
        <f>IF(K35="","",IF(K35&gt;=15,"High",IF(K35&gt;=8,"Medium","Low")))</f>
        <v/>
      </c>
    </row>
    <row r="36">
      <c r="K36" s="15">
        <f>IF(AND(ISNUMBER(C36),ISNUMBER(D36)),C36*D36,"")</f>
        <v/>
      </c>
      <c r="L36" s="14">
        <f>IF(K36="","",IF(K36&gt;=15,"High",IF(K36&gt;=8,"Medium","Low")))</f>
        <v/>
      </c>
    </row>
    <row r="37">
      <c r="K37" s="15">
        <f>IF(AND(ISNUMBER(C37),ISNUMBER(D37)),C37*D37,"")</f>
        <v/>
      </c>
      <c r="L37" s="14">
        <f>IF(K37="","",IF(K37&gt;=15,"High",IF(K37&gt;=8,"Medium","Low")))</f>
        <v/>
      </c>
    </row>
    <row r="38">
      <c r="K38" s="15">
        <f>IF(AND(ISNUMBER(C38),ISNUMBER(D38)),C38*D38,"")</f>
        <v/>
      </c>
      <c r="L38" s="14">
        <f>IF(K38="","",IF(K38&gt;=15,"High",IF(K38&gt;=8,"Medium","Low")))</f>
        <v/>
      </c>
    </row>
    <row r="39">
      <c r="K39" s="15">
        <f>IF(AND(ISNUMBER(C39),ISNUMBER(D39)),C39*D39,"")</f>
        <v/>
      </c>
      <c r="L39" s="14">
        <f>IF(K39="","",IF(K39&gt;=15,"High",IF(K39&gt;=8,"Medium","Low")))</f>
        <v/>
      </c>
    </row>
    <row r="40">
      <c r="K40" s="15">
        <f>IF(AND(ISNUMBER(C40),ISNUMBER(D40)),C40*D40,"")</f>
        <v/>
      </c>
      <c r="L40" s="14">
        <f>IF(K40="","",IF(K40&gt;=15,"High",IF(K40&gt;=8,"Medium","Low")))</f>
        <v/>
      </c>
    </row>
    <row r="41">
      <c r="K41" s="15">
        <f>IF(AND(ISNUMBER(C41),ISNUMBER(D41)),C41*D41,"")</f>
        <v/>
      </c>
      <c r="L41" s="14">
        <f>IF(K41="","",IF(K41&gt;=15,"High",IF(K41&gt;=8,"Medium","Low")))</f>
        <v/>
      </c>
    </row>
    <row r="42">
      <c r="K42" s="15">
        <f>IF(AND(ISNUMBER(C42),ISNUMBER(D42)),C42*D42,"")</f>
        <v/>
      </c>
      <c r="L42" s="14">
        <f>IF(K42="","",IF(K42&gt;=15,"High",IF(K42&gt;=8,"Medium","Low")))</f>
        <v/>
      </c>
    </row>
    <row r="43">
      <c r="K43" s="15">
        <f>IF(AND(ISNUMBER(C43),ISNUMBER(D43)),C43*D43,"")</f>
        <v/>
      </c>
      <c r="L43" s="14">
        <f>IF(K43="","",IF(K43&gt;=15,"High",IF(K43&gt;=8,"Medium","Low")))</f>
        <v/>
      </c>
    </row>
    <row r="44">
      <c r="K44" s="15">
        <f>IF(AND(ISNUMBER(C44),ISNUMBER(D44)),C44*D44,"")</f>
        <v/>
      </c>
      <c r="L44" s="14">
        <f>IF(K44="","",IF(K44&gt;=15,"High",IF(K44&gt;=8,"Medium","Low")))</f>
        <v/>
      </c>
    </row>
    <row r="45">
      <c r="K45" s="15">
        <f>IF(AND(ISNUMBER(C45),ISNUMBER(D45)),C45*D45,"")</f>
        <v/>
      </c>
      <c r="L45" s="14">
        <f>IF(K45="","",IF(K45&gt;=15,"High",IF(K45&gt;=8,"Medium","Low")))</f>
        <v/>
      </c>
    </row>
    <row r="46">
      <c r="K46" s="15">
        <f>IF(AND(ISNUMBER(C46),ISNUMBER(D46)),C46*D46,"")</f>
        <v/>
      </c>
      <c r="L46" s="14">
        <f>IF(K46="","",IF(K46&gt;=15,"High",IF(K46&gt;=8,"Medium","Low")))</f>
        <v/>
      </c>
    </row>
    <row r="47">
      <c r="K47" s="15">
        <f>IF(AND(ISNUMBER(C47),ISNUMBER(D47)),C47*D47,"")</f>
        <v/>
      </c>
      <c r="L47" s="14">
        <f>IF(K47="","",IF(K47&gt;=15,"High",IF(K47&gt;=8,"Medium","Low")))</f>
        <v/>
      </c>
    </row>
    <row r="48">
      <c r="K48" s="15">
        <f>IF(AND(ISNUMBER(C48),ISNUMBER(D48)),C48*D48,"")</f>
        <v/>
      </c>
      <c r="L48" s="14">
        <f>IF(K48="","",IF(K48&gt;=15,"High",IF(K48&gt;=8,"Medium","Low")))</f>
        <v/>
      </c>
    </row>
    <row r="49">
      <c r="K49" s="15">
        <f>IF(AND(ISNUMBER(C49),ISNUMBER(D49)),C49*D49,"")</f>
        <v/>
      </c>
      <c r="L49" s="14">
        <f>IF(K49="","",IF(K49&gt;=15,"High",IF(K49&gt;=8,"Medium","Low")))</f>
        <v/>
      </c>
    </row>
    <row r="50">
      <c r="K50" s="15">
        <f>IF(AND(ISNUMBER(C50),ISNUMBER(D50)),C50*D50,"")</f>
        <v/>
      </c>
      <c r="L50" s="14">
        <f>IF(K50="","",IF(K50&gt;=15,"High",IF(K50&gt;=8,"Medium","Low")))</f>
        <v/>
      </c>
    </row>
    <row r="51">
      <c r="K51" s="15">
        <f>IF(AND(ISNUMBER(C51),ISNUMBER(D51)),C51*D51,"")</f>
        <v/>
      </c>
      <c r="L51" s="14">
        <f>IF(K51="","",IF(K51&gt;=15,"High",IF(K51&gt;=8,"Medium","Low")))</f>
        <v/>
      </c>
    </row>
    <row r="52">
      <c r="K52" s="15">
        <f>IF(AND(ISNUMBER(C52),ISNUMBER(D52)),C52*D52,"")</f>
        <v/>
      </c>
      <c r="L52" s="14">
        <f>IF(K52="","",IF(K52&gt;=15,"High",IF(K52&gt;=8,"Medium","Low")))</f>
        <v/>
      </c>
    </row>
    <row r="53">
      <c r="K53" s="15">
        <f>IF(AND(ISNUMBER(C53),ISNUMBER(D53)),C53*D53,"")</f>
        <v/>
      </c>
      <c r="L53" s="14">
        <f>IF(K53="","",IF(K53&gt;=15,"High",IF(K53&gt;=8,"Medium","Low")))</f>
        <v/>
      </c>
    </row>
    <row r="54">
      <c r="K54" s="15">
        <f>IF(AND(ISNUMBER(C54),ISNUMBER(D54)),C54*D54,"")</f>
        <v/>
      </c>
      <c r="L54" s="14">
        <f>IF(K54="","",IF(K54&gt;=15,"High",IF(K54&gt;=8,"Medium","Low")))</f>
        <v/>
      </c>
    </row>
    <row r="55">
      <c r="K55" s="15">
        <f>IF(AND(ISNUMBER(C55),ISNUMBER(D55)),C55*D55,"")</f>
        <v/>
      </c>
      <c r="L55" s="14">
        <f>IF(K55="","",IF(K55&gt;=15,"High",IF(K55&gt;=8,"Medium","Low")))</f>
        <v/>
      </c>
    </row>
    <row r="56">
      <c r="K56" s="15">
        <f>IF(AND(ISNUMBER(C56),ISNUMBER(D56)),C56*D56,"")</f>
        <v/>
      </c>
      <c r="L56" s="14">
        <f>IF(K56="","",IF(K56&gt;=15,"High",IF(K56&gt;=8,"Medium","Low")))</f>
        <v/>
      </c>
    </row>
    <row r="57">
      <c r="K57" s="15">
        <f>IF(AND(ISNUMBER(C57),ISNUMBER(D57)),C57*D57,"")</f>
        <v/>
      </c>
      <c r="L57" s="14">
        <f>IF(K57="","",IF(K57&gt;=15,"High",IF(K57&gt;=8,"Medium","Low")))</f>
        <v/>
      </c>
    </row>
    <row r="58">
      <c r="K58" s="15">
        <f>IF(AND(ISNUMBER(C58),ISNUMBER(D58)),C58*D58,"")</f>
        <v/>
      </c>
      <c r="L58" s="14">
        <f>IF(K58="","",IF(K58&gt;=15,"High",IF(K58&gt;=8,"Medium","Low")))</f>
        <v/>
      </c>
    </row>
    <row r="59">
      <c r="K59" s="15">
        <f>IF(AND(ISNUMBER(C59),ISNUMBER(D59)),C59*D59,"")</f>
        <v/>
      </c>
      <c r="L59" s="14">
        <f>IF(K59="","",IF(K59&gt;=15,"High",IF(K59&gt;=8,"Medium","Low")))</f>
        <v/>
      </c>
    </row>
    <row r="60">
      <c r="K60" s="15">
        <f>IF(AND(ISNUMBER(C60),ISNUMBER(D60)),C60*D60,"")</f>
        <v/>
      </c>
      <c r="L60" s="14">
        <f>IF(K60="","",IF(K60&gt;=15,"High",IF(K60&gt;=8,"Medium","Low")))</f>
        <v/>
      </c>
    </row>
    <row r="61">
      <c r="K61" s="15">
        <f>IF(AND(ISNUMBER(C61),ISNUMBER(D61)),C61*D61,"")</f>
        <v/>
      </c>
      <c r="L61" s="14">
        <f>IF(K61="","",IF(K61&gt;=15,"High",IF(K61&gt;=8,"Medium","Low")))</f>
        <v/>
      </c>
    </row>
    <row r="62">
      <c r="K62" s="15">
        <f>IF(AND(ISNUMBER(C62),ISNUMBER(D62)),C62*D62,"")</f>
        <v/>
      </c>
      <c r="L62" s="14">
        <f>IF(K62="","",IF(K62&gt;=15,"High",IF(K62&gt;=8,"Medium","Low")))</f>
        <v/>
      </c>
    </row>
    <row r="63">
      <c r="K63" s="15">
        <f>IF(AND(ISNUMBER(C63),ISNUMBER(D63)),C63*D63,"")</f>
        <v/>
      </c>
      <c r="L63" s="14">
        <f>IF(K63="","",IF(K63&gt;=15,"High",IF(K63&gt;=8,"Medium","Low")))</f>
        <v/>
      </c>
    </row>
    <row r="64">
      <c r="K64" s="15">
        <f>IF(AND(ISNUMBER(C64),ISNUMBER(D64)),C64*D64,"")</f>
        <v/>
      </c>
      <c r="L64" s="14">
        <f>IF(K64="","",IF(K64&gt;=15,"High",IF(K64&gt;=8,"Medium","Low")))</f>
        <v/>
      </c>
    </row>
    <row r="65">
      <c r="K65" s="15">
        <f>IF(AND(ISNUMBER(C65),ISNUMBER(D65)),C65*D65,"")</f>
        <v/>
      </c>
      <c r="L65" s="14">
        <f>IF(K65="","",IF(K65&gt;=15,"High",IF(K65&gt;=8,"Medium","Low")))</f>
        <v/>
      </c>
    </row>
    <row r="66">
      <c r="K66" s="15">
        <f>IF(AND(ISNUMBER(C66),ISNUMBER(D66)),C66*D66,"")</f>
        <v/>
      </c>
      <c r="L66" s="14">
        <f>IF(K66="","",IF(K66&gt;=15,"High",IF(K66&gt;=8,"Medium","Low")))</f>
        <v/>
      </c>
    </row>
    <row r="67">
      <c r="K67" s="15">
        <f>IF(AND(ISNUMBER(C67),ISNUMBER(D67)),C67*D67,"")</f>
        <v/>
      </c>
      <c r="L67" s="14">
        <f>IF(K67="","",IF(K67&gt;=15,"High",IF(K67&gt;=8,"Medium","Low")))</f>
        <v/>
      </c>
    </row>
    <row r="68">
      <c r="K68" s="15">
        <f>IF(AND(ISNUMBER(C68),ISNUMBER(D68)),C68*D68,"")</f>
        <v/>
      </c>
      <c r="L68" s="14">
        <f>IF(K68="","",IF(K68&gt;=15,"High",IF(K68&gt;=8,"Medium","Low")))</f>
        <v/>
      </c>
    </row>
    <row r="69">
      <c r="K69" s="15">
        <f>IF(AND(ISNUMBER(C69),ISNUMBER(D69)),C69*D69,"")</f>
        <v/>
      </c>
      <c r="L69" s="14">
        <f>IF(K69="","",IF(K69&gt;=15,"High",IF(K69&gt;=8,"Medium","Low")))</f>
        <v/>
      </c>
    </row>
    <row r="70">
      <c r="K70" s="15">
        <f>IF(AND(ISNUMBER(C70),ISNUMBER(D70)),C70*D70,"")</f>
        <v/>
      </c>
      <c r="L70" s="14">
        <f>IF(K70="","",IF(K70&gt;=15,"High",IF(K70&gt;=8,"Medium","Low")))</f>
        <v/>
      </c>
    </row>
    <row r="71">
      <c r="K71" s="15">
        <f>IF(AND(ISNUMBER(C71),ISNUMBER(D71)),C71*D71,"")</f>
        <v/>
      </c>
      <c r="L71" s="14">
        <f>IF(K71="","",IF(K71&gt;=15,"High",IF(K71&gt;=8,"Medium","Low")))</f>
        <v/>
      </c>
    </row>
    <row r="72">
      <c r="K72" s="15">
        <f>IF(AND(ISNUMBER(C72),ISNUMBER(D72)),C72*D72,"")</f>
        <v/>
      </c>
      <c r="L72" s="14">
        <f>IF(K72="","",IF(K72&gt;=15,"High",IF(K72&gt;=8,"Medium","Low")))</f>
        <v/>
      </c>
    </row>
    <row r="73">
      <c r="K73" s="15">
        <f>IF(AND(ISNUMBER(C73),ISNUMBER(D73)),C73*D73,"")</f>
        <v/>
      </c>
      <c r="L73" s="14">
        <f>IF(K73="","",IF(K73&gt;=15,"High",IF(K73&gt;=8,"Medium","Low")))</f>
        <v/>
      </c>
    </row>
    <row r="74">
      <c r="K74" s="15">
        <f>IF(AND(ISNUMBER(C74),ISNUMBER(D74)),C74*D74,"")</f>
        <v/>
      </c>
      <c r="L74" s="14">
        <f>IF(K74="","",IF(K74&gt;=15,"High",IF(K74&gt;=8,"Medium","Low")))</f>
        <v/>
      </c>
    </row>
    <row r="75">
      <c r="K75" s="15">
        <f>IF(AND(ISNUMBER(C75),ISNUMBER(D75)),C75*D75,"")</f>
        <v/>
      </c>
      <c r="L75" s="14">
        <f>IF(K75="","",IF(K75&gt;=15,"High",IF(K75&gt;=8,"Medium","Low")))</f>
        <v/>
      </c>
    </row>
    <row r="76">
      <c r="K76" s="15">
        <f>IF(AND(ISNUMBER(C76),ISNUMBER(D76)),C76*D76,"")</f>
        <v/>
      </c>
      <c r="L76" s="14">
        <f>IF(K76="","",IF(K76&gt;=15,"High",IF(K76&gt;=8,"Medium","Low")))</f>
        <v/>
      </c>
    </row>
    <row r="77">
      <c r="K77" s="15">
        <f>IF(AND(ISNUMBER(C77),ISNUMBER(D77)),C77*D77,"")</f>
        <v/>
      </c>
      <c r="L77" s="14">
        <f>IF(K77="","",IF(K77&gt;=15,"High",IF(K77&gt;=8,"Medium","Low")))</f>
        <v/>
      </c>
    </row>
    <row r="78">
      <c r="K78" s="15">
        <f>IF(AND(ISNUMBER(C78),ISNUMBER(D78)),C78*D78,"")</f>
        <v/>
      </c>
      <c r="L78" s="14">
        <f>IF(K78="","",IF(K78&gt;=15,"High",IF(K78&gt;=8,"Medium","Low")))</f>
        <v/>
      </c>
    </row>
    <row r="79">
      <c r="K79" s="15">
        <f>IF(AND(ISNUMBER(C79),ISNUMBER(D79)),C79*D79,"")</f>
        <v/>
      </c>
      <c r="L79" s="14">
        <f>IF(K79="","",IF(K79&gt;=15,"High",IF(K79&gt;=8,"Medium","Low")))</f>
        <v/>
      </c>
    </row>
    <row r="80">
      <c r="K80" s="15">
        <f>IF(AND(ISNUMBER(C80),ISNUMBER(D80)),C80*D80,"")</f>
        <v/>
      </c>
      <c r="L80" s="14">
        <f>IF(K80="","",IF(K80&gt;=15,"High",IF(K80&gt;=8,"Medium","Low")))</f>
        <v/>
      </c>
    </row>
    <row r="81">
      <c r="K81" s="15">
        <f>IF(AND(ISNUMBER(C81),ISNUMBER(D81)),C81*D81,"")</f>
        <v/>
      </c>
      <c r="L81" s="14">
        <f>IF(K81="","",IF(K81&gt;=15,"High",IF(K81&gt;=8,"Medium","Low")))</f>
        <v/>
      </c>
    </row>
    <row r="82">
      <c r="K82" s="15">
        <f>IF(AND(ISNUMBER(C82),ISNUMBER(D82)),C82*D82,"")</f>
        <v/>
      </c>
      <c r="L82" s="14">
        <f>IF(K82="","",IF(K82&gt;=15,"High",IF(K82&gt;=8,"Medium","Low")))</f>
        <v/>
      </c>
    </row>
    <row r="83">
      <c r="K83" s="15">
        <f>IF(AND(ISNUMBER(C83),ISNUMBER(D83)),C83*D83,"")</f>
        <v/>
      </c>
      <c r="L83" s="14">
        <f>IF(K83="","",IF(K83&gt;=15,"High",IF(K83&gt;=8,"Medium","Low")))</f>
        <v/>
      </c>
    </row>
    <row r="84">
      <c r="K84" s="15">
        <f>IF(AND(ISNUMBER(C84),ISNUMBER(D84)),C84*D84,"")</f>
        <v/>
      </c>
      <c r="L84" s="14">
        <f>IF(K84="","",IF(K84&gt;=15,"High",IF(K84&gt;=8,"Medium","Low")))</f>
        <v/>
      </c>
    </row>
    <row r="85">
      <c r="K85" s="15">
        <f>IF(AND(ISNUMBER(C85),ISNUMBER(D85)),C85*D85,"")</f>
        <v/>
      </c>
      <c r="L85" s="14">
        <f>IF(K85="","",IF(K85&gt;=15,"High",IF(K85&gt;=8,"Medium","Low")))</f>
        <v/>
      </c>
    </row>
    <row r="86">
      <c r="K86" s="15">
        <f>IF(AND(ISNUMBER(C86),ISNUMBER(D86)),C86*D86,"")</f>
        <v/>
      </c>
      <c r="L86" s="14">
        <f>IF(K86="","",IF(K86&gt;=15,"High",IF(K86&gt;=8,"Medium","Low")))</f>
        <v/>
      </c>
    </row>
    <row r="87">
      <c r="K87" s="15">
        <f>IF(AND(ISNUMBER(C87),ISNUMBER(D87)),C87*D87,"")</f>
        <v/>
      </c>
      <c r="L87" s="14">
        <f>IF(K87="","",IF(K87&gt;=15,"High",IF(K87&gt;=8,"Medium","Low")))</f>
        <v/>
      </c>
    </row>
    <row r="88">
      <c r="K88" s="15">
        <f>IF(AND(ISNUMBER(C88),ISNUMBER(D88)),C88*D88,"")</f>
        <v/>
      </c>
      <c r="L88" s="14">
        <f>IF(K88="","",IF(K88&gt;=15,"High",IF(K88&gt;=8,"Medium","Low")))</f>
        <v/>
      </c>
    </row>
    <row r="89">
      <c r="K89" s="15">
        <f>IF(AND(ISNUMBER(C89),ISNUMBER(D89)),C89*D89,"")</f>
        <v/>
      </c>
      <c r="L89" s="14">
        <f>IF(K89="","",IF(K89&gt;=15,"High",IF(K89&gt;=8,"Medium","Low")))</f>
        <v/>
      </c>
    </row>
    <row r="90">
      <c r="K90" s="15">
        <f>IF(AND(ISNUMBER(C90),ISNUMBER(D90)),C90*D90,"")</f>
        <v/>
      </c>
      <c r="L90" s="14">
        <f>IF(K90="","",IF(K90&gt;=15,"High",IF(K90&gt;=8,"Medium","Low")))</f>
        <v/>
      </c>
    </row>
    <row r="91">
      <c r="K91" s="15">
        <f>IF(AND(ISNUMBER(C91),ISNUMBER(D91)),C91*D91,"")</f>
        <v/>
      </c>
      <c r="L91" s="14">
        <f>IF(K91="","",IF(K91&gt;=15,"High",IF(K91&gt;=8,"Medium","Low")))</f>
        <v/>
      </c>
    </row>
    <row r="92">
      <c r="K92" s="15">
        <f>IF(AND(ISNUMBER(C92),ISNUMBER(D92)),C92*D92,"")</f>
        <v/>
      </c>
      <c r="L92" s="14">
        <f>IF(K92="","",IF(K92&gt;=15,"High",IF(K92&gt;=8,"Medium","Low")))</f>
        <v/>
      </c>
    </row>
    <row r="93">
      <c r="K93" s="15">
        <f>IF(AND(ISNUMBER(C93),ISNUMBER(D93)),C93*D93,"")</f>
        <v/>
      </c>
      <c r="L93" s="14">
        <f>IF(K93="","",IF(K93&gt;=15,"High",IF(K93&gt;=8,"Medium","Low")))</f>
        <v/>
      </c>
    </row>
    <row r="94">
      <c r="K94" s="15">
        <f>IF(AND(ISNUMBER(C94),ISNUMBER(D94)),C94*D94,"")</f>
        <v/>
      </c>
      <c r="L94" s="14">
        <f>IF(K94="","",IF(K94&gt;=15,"High",IF(K94&gt;=8,"Medium","Low")))</f>
        <v/>
      </c>
    </row>
    <row r="95">
      <c r="K95" s="15">
        <f>IF(AND(ISNUMBER(C95),ISNUMBER(D95)),C95*D95,"")</f>
        <v/>
      </c>
      <c r="L95" s="14">
        <f>IF(K95="","",IF(K95&gt;=15,"High",IF(K95&gt;=8,"Medium","Low")))</f>
        <v/>
      </c>
    </row>
    <row r="96">
      <c r="K96" s="15">
        <f>IF(AND(ISNUMBER(C96),ISNUMBER(D96)),C96*D96,"")</f>
        <v/>
      </c>
      <c r="L96" s="14">
        <f>IF(K96="","",IF(K96&gt;=15,"High",IF(K96&gt;=8,"Medium","Low")))</f>
        <v/>
      </c>
    </row>
    <row r="97">
      <c r="K97" s="15">
        <f>IF(AND(ISNUMBER(C97),ISNUMBER(D97)),C97*D97,"")</f>
        <v/>
      </c>
      <c r="L97" s="14">
        <f>IF(K97="","",IF(K97&gt;=15,"High",IF(K97&gt;=8,"Medium","Low")))</f>
        <v/>
      </c>
    </row>
    <row r="98">
      <c r="K98" s="15">
        <f>IF(AND(ISNUMBER(C98),ISNUMBER(D98)),C98*D98,"")</f>
        <v/>
      </c>
      <c r="L98" s="14">
        <f>IF(K98="","",IF(K98&gt;=15,"High",IF(K98&gt;=8,"Medium","Low")))</f>
        <v/>
      </c>
    </row>
    <row r="99">
      <c r="K99" s="15">
        <f>IF(AND(ISNUMBER(C99),ISNUMBER(D99)),C99*D99,"")</f>
        <v/>
      </c>
      <c r="L99" s="14">
        <f>IF(K99="","",IF(K99&gt;=15,"High",IF(K99&gt;=8,"Medium","Low")))</f>
        <v/>
      </c>
    </row>
    <row r="100">
      <c r="K100" s="15">
        <f>IF(AND(ISNUMBER(C100),ISNUMBER(D100)),C100*D100,"")</f>
        <v/>
      </c>
      <c r="L100" s="14">
        <f>IF(K100="","",IF(K100&gt;=15,"High",IF(K100&gt;=8,"Medium","Low")))</f>
        <v/>
      </c>
    </row>
    <row r="101">
      <c r="K101" s="15">
        <f>IF(AND(ISNUMBER(C101),ISNUMBER(D101)),C101*D101,"")</f>
        <v/>
      </c>
      <c r="L101" s="14">
        <f>IF(K101="","",IF(K101&gt;=15,"High",IF(K101&gt;=8,"Medium","Low")))</f>
        <v/>
      </c>
    </row>
    <row r="102">
      <c r="K102" s="15">
        <f>IF(AND(ISNUMBER(C102),ISNUMBER(D102)),C102*D102,"")</f>
        <v/>
      </c>
      <c r="L102" s="14">
        <f>IF(K102="","",IF(K102&gt;=15,"High",IF(K102&gt;=8,"Medium","Low")))</f>
        <v/>
      </c>
    </row>
    <row r="103">
      <c r="K103" s="15">
        <f>IF(AND(ISNUMBER(C103),ISNUMBER(D103)),C103*D103,"")</f>
        <v/>
      </c>
      <c r="L103" s="14">
        <f>IF(K103="","",IF(K103&gt;=15,"High",IF(K103&gt;=8,"Medium","Low")))</f>
        <v/>
      </c>
    </row>
    <row r="104">
      <c r="K104" s="15">
        <f>IF(AND(ISNUMBER(C104),ISNUMBER(D104)),C104*D104,"")</f>
        <v/>
      </c>
      <c r="L104" s="14">
        <f>IF(K104="","",IF(K104&gt;=15,"High",IF(K104&gt;=8,"Medium","Low")))</f>
        <v/>
      </c>
    </row>
    <row r="105">
      <c r="K105" s="15">
        <f>IF(AND(ISNUMBER(C105),ISNUMBER(D105)),C105*D105,"")</f>
        <v/>
      </c>
      <c r="L105" s="14">
        <f>IF(K105="","",IF(K105&gt;=15,"High",IF(K105&gt;=8,"Medium","Low")))</f>
        <v/>
      </c>
    </row>
    <row r="106">
      <c r="K106" s="15">
        <f>IF(AND(ISNUMBER(C106),ISNUMBER(D106)),C106*D106,"")</f>
        <v/>
      </c>
      <c r="L106" s="14">
        <f>IF(K106="","",IF(K106&gt;=15,"High",IF(K106&gt;=8,"Medium","Low")))</f>
        <v/>
      </c>
    </row>
    <row r="107">
      <c r="K107" s="15">
        <f>IF(AND(ISNUMBER(C107),ISNUMBER(D107)),C107*D107,"")</f>
        <v/>
      </c>
      <c r="L107" s="14">
        <f>IF(K107="","",IF(K107&gt;=15,"High",IF(K107&gt;=8,"Medium","Low")))</f>
        <v/>
      </c>
    </row>
    <row r="108">
      <c r="K108" s="15">
        <f>IF(AND(ISNUMBER(C108),ISNUMBER(D108)),C108*D108,"")</f>
        <v/>
      </c>
      <c r="L108" s="14">
        <f>IF(K108="","",IF(K108&gt;=15,"High",IF(K108&gt;=8,"Medium","Low")))</f>
        <v/>
      </c>
    </row>
    <row r="109">
      <c r="K109" s="15">
        <f>IF(AND(ISNUMBER(C109),ISNUMBER(D109)),C109*D109,"")</f>
        <v/>
      </c>
      <c r="L109" s="14">
        <f>IF(K109="","",IF(K109&gt;=15,"High",IF(K109&gt;=8,"Medium","Low")))</f>
        <v/>
      </c>
    </row>
    <row r="110">
      <c r="K110" s="15">
        <f>IF(AND(ISNUMBER(C110),ISNUMBER(D110)),C110*D110,"")</f>
        <v/>
      </c>
      <c r="L110" s="14">
        <f>IF(K110="","",IF(K110&gt;=15,"High",IF(K110&gt;=8,"Medium","Low")))</f>
        <v/>
      </c>
    </row>
    <row r="111">
      <c r="K111" s="15">
        <f>IF(AND(ISNUMBER(C111),ISNUMBER(D111)),C111*D111,"")</f>
        <v/>
      </c>
      <c r="L111" s="14">
        <f>IF(K111="","",IF(K111&gt;=15,"High",IF(K111&gt;=8,"Medium","Low")))</f>
        <v/>
      </c>
    </row>
    <row r="112">
      <c r="K112" s="15">
        <f>IF(AND(ISNUMBER(C112),ISNUMBER(D112)),C112*D112,"")</f>
        <v/>
      </c>
      <c r="L112" s="14">
        <f>IF(K112="","",IF(K112&gt;=15,"High",IF(K112&gt;=8,"Medium","Low")))</f>
        <v/>
      </c>
    </row>
    <row r="113">
      <c r="K113" s="15">
        <f>IF(AND(ISNUMBER(C113),ISNUMBER(D113)),C113*D113,"")</f>
        <v/>
      </c>
      <c r="L113" s="14">
        <f>IF(K113="","",IF(K113&gt;=15,"High",IF(K113&gt;=8,"Medium","Low")))</f>
        <v/>
      </c>
    </row>
    <row r="114">
      <c r="K114" s="15">
        <f>IF(AND(ISNUMBER(C114),ISNUMBER(D114)),C114*D114,"")</f>
        <v/>
      </c>
      <c r="L114" s="14">
        <f>IF(K114="","",IF(K114&gt;=15,"High",IF(K114&gt;=8,"Medium","Low")))</f>
        <v/>
      </c>
    </row>
    <row r="115">
      <c r="K115" s="15">
        <f>IF(AND(ISNUMBER(C115),ISNUMBER(D115)),C115*D115,"")</f>
        <v/>
      </c>
      <c r="L115" s="14">
        <f>IF(K115="","",IF(K115&gt;=15,"High",IF(K115&gt;=8,"Medium","Low")))</f>
        <v/>
      </c>
    </row>
    <row r="116">
      <c r="K116" s="15">
        <f>IF(AND(ISNUMBER(C116),ISNUMBER(D116)),C116*D116,"")</f>
        <v/>
      </c>
      <c r="L116" s="14">
        <f>IF(K116="","",IF(K116&gt;=15,"High",IF(K116&gt;=8,"Medium","Low")))</f>
        <v/>
      </c>
    </row>
    <row r="117">
      <c r="K117" s="15">
        <f>IF(AND(ISNUMBER(C117),ISNUMBER(D117)),C117*D117,"")</f>
        <v/>
      </c>
      <c r="L117" s="14">
        <f>IF(K117="","",IF(K117&gt;=15,"High",IF(K117&gt;=8,"Medium","Low")))</f>
        <v/>
      </c>
    </row>
    <row r="118">
      <c r="K118" s="15">
        <f>IF(AND(ISNUMBER(C118),ISNUMBER(D118)),C118*D118,"")</f>
        <v/>
      </c>
      <c r="L118" s="14">
        <f>IF(K118="","",IF(K118&gt;=15,"High",IF(K118&gt;=8,"Medium","Low")))</f>
        <v/>
      </c>
    </row>
    <row r="119">
      <c r="K119" s="15">
        <f>IF(AND(ISNUMBER(C119),ISNUMBER(D119)),C119*D119,"")</f>
        <v/>
      </c>
      <c r="L119" s="14">
        <f>IF(K119="","",IF(K119&gt;=15,"High",IF(K119&gt;=8,"Medium","Low")))</f>
        <v/>
      </c>
    </row>
    <row r="120">
      <c r="K120" s="15">
        <f>IF(AND(ISNUMBER(C120),ISNUMBER(D120)),C120*D120,"")</f>
        <v/>
      </c>
      <c r="L120" s="14">
        <f>IF(K120="","",IF(K120&gt;=15,"High",IF(K120&gt;=8,"Medium","Low")))</f>
        <v/>
      </c>
    </row>
    <row r="121">
      <c r="K121" s="15">
        <f>IF(AND(ISNUMBER(C121),ISNUMBER(D121)),C121*D121,"")</f>
        <v/>
      </c>
      <c r="L121" s="14">
        <f>IF(K121="","",IF(K121&gt;=15,"High",IF(K121&gt;=8,"Medium","Low")))</f>
        <v/>
      </c>
    </row>
    <row r="122">
      <c r="K122" s="15">
        <f>IF(AND(ISNUMBER(C122),ISNUMBER(D122)),C122*D122,"")</f>
        <v/>
      </c>
      <c r="L122" s="14">
        <f>IF(K122="","",IF(K122&gt;=15,"High",IF(K122&gt;=8,"Medium","Low")))</f>
        <v/>
      </c>
    </row>
    <row r="123">
      <c r="K123" s="15">
        <f>IF(AND(ISNUMBER(C123),ISNUMBER(D123)),C123*D123,"")</f>
        <v/>
      </c>
      <c r="L123" s="14">
        <f>IF(K123="","",IF(K123&gt;=15,"High",IF(K123&gt;=8,"Medium","Low")))</f>
        <v/>
      </c>
    </row>
    <row r="124">
      <c r="K124" s="15">
        <f>IF(AND(ISNUMBER(C124),ISNUMBER(D124)),C124*D124,"")</f>
        <v/>
      </c>
      <c r="L124" s="14">
        <f>IF(K124="","",IF(K124&gt;=15,"High",IF(K124&gt;=8,"Medium","Low")))</f>
        <v/>
      </c>
    </row>
    <row r="125">
      <c r="K125" s="15">
        <f>IF(AND(ISNUMBER(C125),ISNUMBER(D125)),C125*D125,"")</f>
        <v/>
      </c>
      <c r="L125" s="14">
        <f>IF(K125="","",IF(K125&gt;=15,"High",IF(K125&gt;=8,"Medium","Low")))</f>
        <v/>
      </c>
    </row>
    <row r="126">
      <c r="K126" s="15">
        <f>IF(AND(ISNUMBER(C126),ISNUMBER(D126)),C126*D126,"")</f>
        <v/>
      </c>
      <c r="L126" s="14">
        <f>IF(K126="","",IF(K126&gt;=15,"High",IF(K126&gt;=8,"Medium","Low")))</f>
        <v/>
      </c>
    </row>
    <row r="127">
      <c r="K127" s="15">
        <f>IF(AND(ISNUMBER(C127),ISNUMBER(D127)),C127*D127,"")</f>
        <v/>
      </c>
      <c r="L127" s="14">
        <f>IF(K127="","",IF(K127&gt;=15,"High",IF(K127&gt;=8,"Medium","Low")))</f>
        <v/>
      </c>
    </row>
    <row r="128">
      <c r="K128" s="15">
        <f>IF(AND(ISNUMBER(C128),ISNUMBER(D128)),C128*D128,"")</f>
        <v/>
      </c>
      <c r="L128" s="14">
        <f>IF(K128="","",IF(K128&gt;=15,"High",IF(K128&gt;=8,"Medium","Low")))</f>
        <v/>
      </c>
    </row>
    <row r="129">
      <c r="K129" s="15">
        <f>IF(AND(ISNUMBER(C129),ISNUMBER(D129)),C129*D129,"")</f>
        <v/>
      </c>
      <c r="L129" s="14">
        <f>IF(K129="","",IF(K129&gt;=15,"High",IF(K129&gt;=8,"Medium","Low")))</f>
        <v/>
      </c>
    </row>
    <row r="130">
      <c r="K130" s="15">
        <f>IF(AND(ISNUMBER(C130),ISNUMBER(D130)),C130*D130,"")</f>
        <v/>
      </c>
      <c r="L130" s="14">
        <f>IF(K130="","",IF(K130&gt;=15,"High",IF(K130&gt;=8,"Medium","Low")))</f>
        <v/>
      </c>
    </row>
    <row r="131">
      <c r="K131" s="15">
        <f>IF(AND(ISNUMBER(C131),ISNUMBER(D131)),C131*D131,"")</f>
        <v/>
      </c>
      <c r="L131" s="14">
        <f>IF(K131="","",IF(K131&gt;=15,"High",IF(K131&gt;=8,"Medium","Low")))</f>
        <v/>
      </c>
    </row>
    <row r="132">
      <c r="K132" s="15">
        <f>IF(AND(ISNUMBER(C132),ISNUMBER(D132)),C132*D132,"")</f>
        <v/>
      </c>
      <c r="L132" s="14">
        <f>IF(K132="","",IF(K132&gt;=15,"High",IF(K132&gt;=8,"Medium","Low")))</f>
        <v/>
      </c>
    </row>
    <row r="133">
      <c r="K133" s="15">
        <f>IF(AND(ISNUMBER(C133),ISNUMBER(D133)),C133*D133,"")</f>
        <v/>
      </c>
      <c r="L133" s="14">
        <f>IF(K133="","",IF(K133&gt;=15,"High",IF(K133&gt;=8,"Medium","Low")))</f>
        <v/>
      </c>
    </row>
    <row r="134">
      <c r="K134" s="15">
        <f>IF(AND(ISNUMBER(C134),ISNUMBER(D134)),C134*D134,"")</f>
        <v/>
      </c>
      <c r="L134" s="14">
        <f>IF(K134="","",IF(K134&gt;=15,"High",IF(K134&gt;=8,"Medium","Low")))</f>
        <v/>
      </c>
    </row>
    <row r="135">
      <c r="K135" s="15">
        <f>IF(AND(ISNUMBER(C135),ISNUMBER(D135)),C135*D135,"")</f>
        <v/>
      </c>
      <c r="L135" s="14">
        <f>IF(K135="","",IF(K135&gt;=15,"High",IF(K135&gt;=8,"Medium","Low")))</f>
        <v/>
      </c>
    </row>
    <row r="136">
      <c r="K136" s="15">
        <f>IF(AND(ISNUMBER(C136),ISNUMBER(D136)),C136*D136,"")</f>
        <v/>
      </c>
      <c r="L136" s="14">
        <f>IF(K136="","",IF(K136&gt;=15,"High",IF(K136&gt;=8,"Medium","Low")))</f>
        <v/>
      </c>
    </row>
    <row r="137">
      <c r="K137" s="15">
        <f>IF(AND(ISNUMBER(C137),ISNUMBER(D137)),C137*D137,"")</f>
        <v/>
      </c>
      <c r="L137" s="14">
        <f>IF(K137="","",IF(K137&gt;=15,"High",IF(K137&gt;=8,"Medium","Low")))</f>
        <v/>
      </c>
    </row>
    <row r="138">
      <c r="K138" s="15">
        <f>IF(AND(ISNUMBER(C138),ISNUMBER(D138)),C138*D138,"")</f>
        <v/>
      </c>
      <c r="L138" s="14">
        <f>IF(K138="","",IF(K138&gt;=15,"High",IF(K138&gt;=8,"Medium","Low")))</f>
        <v/>
      </c>
    </row>
    <row r="139">
      <c r="K139" s="15">
        <f>IF(AND(ISNUMBER(C139),ISNUMBER(D139)),C139*D139,"")</f>
        <v/>
      </c>
      <c r="L139" s="14">
        <f>IF(K139="","",IF(K139&gt;=15,"High",IF(K139&gt;=8,"Medium","Low")))</f>
        <v/>
      </c>
    </row>
    <row r="140">
      <c r="K140" s="15">
        <f>IF(AND(ISNUMBER(C140),ISNUMBER(D140)),C140*D140,"")</f>
        <v/>
      </c>
      <c r="L140" s="14">
        <f>IF(K140="","",IF(K140&gt;=15,"High",IF(K140&gt;=8,"Medium","Low")))</f>
        <v/>
      </c>
    </row>
    <row r="141">
      <c r="K141" s="15">
        <f>IF(AND(ISNUMBER(C141),ISNUMBER(D141)),C141*D141,"")</f>
        <v/>
      </c>
      <c r="L141" s="14">
        <f>IF(K141="","",IF(K141&gt;=15,"High",IF(K141&gt;=8,"Medium","Low")))</f>
        <v/>
      </c>
    </row>
    <row r="142">
      <c r="K142" s="15">
        <f>IF(AND(ISNUMBER(C142),ISNUMBER(D142)),C142*D142,"")</f>
        <v/>
      </c>
      <c r="L142" s="14">
        <f>IF(K142="","",IF(K142&gt;=15,"High",IF(K142&gt;=8,"Medium","Low")))</f>
        <v/>
      </c>
    </row>
    <row r="143">
      <c r="K143" s="15">
        <f>IF(AND(ISNUMBER(C143),ISNUMBER(D143)),C143*D143,"")</f>
        <v/>
      </c>
      <c r="L143" s="14">
        <f>IF(K143="","",IF(K143&gt;=15,"High",IF(K143&gt;=8,"Medium","Low")))</f>
        <v/>
      </c>
    </row>
    <row r="144">
      <c r="K144" s="15">
        <f>IF(AND(ISNUMBER(C144),ISNUMBER(D144)),C144*D144,"")</f>
        <v/>
      </c>
      <c r="L144" s="14">
        <f>IF(K144="","",IF(K144&gt;=15,"High",IF(K144&gt;=8,"Medium","Low")))</f>
        <v/>
      </c>
    </row>
    <row r="145">
      <c r="K145" s="15">
        <f>IF(AND(ISNUMBER(C145),ISNUMBER(D145)),C145*D145,"")</f>
        <v/>
      </c>
      <c r="L145" s="14">
        <f>IF(K145="","",IF(K145&gt;=15,"High",IF(K145&gt;=8,"Medium","Low")))</f>
        <v/>
      </c>
    </row>
    <row r="146">
      <c r="K146" s="15">
        <f>IF(AND(ISNUMBER(C146),ISNUMBER(D146)),C146*D146,"")</f>
        <v/>
      </c>
      <c r="L146" s="14">
        <f>IF(K146="","",IF(K146&gt;=15,"High",IF(K146&gt;=8,"Medium","Low")))</f>
        <v/>
      </c>
    </row>
    <row r="147">
      <c r="K147" s="15">
        <f>IF(AND(ISNUMBER(C147),ISNUMBER(D147)),C147*D147,"")</f>
        <v/>
      </c>
      <c r="L147" s="14">
        <f>IF(K147="","",IF(K147&gt;=15,"High",IF(K147&gt;=8,"Medium","Low")))</f>
        <v/>
      </c>
    </row>
    <row r="148">
      <c r="K148" s="15">
        <f>IF(AND(ISNUMBER(C148),ISNUMBER(D148)),C148*D148,"")</f>
        <v/>
      </c>
      <c r="L148" s="14">
        <f>IF(K148="","",IF(K148&gt;=15,"High",IF(K148&gt;=8,"Medium","Low")))</f>
        <v/>
      </c>
    </row>
    <row r="149">
      <c r="K149" s="15">
        <f>IF(AND(ISNUMBER(C149),ISNUMBER(D149)),C149*D149,"")</f>
        <v/>
      </c>
      <c r="L149" s="14">
        <f>IF(K149="","",IF(K149&gt;=15,"High",IF(K149&gt;=8,"Medium","Low")))</f>
        <v/>
      </c>
    </row>
    <row r="150">
      <c r="K150" s="15">
        <f>IF(AND(ISNUMBER(C150),ISNUMBER(D150)),C150*D150,"")</f>
        <v/>
      </c>
      <c r="L150" s="14">
        <f>IF(K150="","",IF(K150&gt;=15,"High",IF(K150&gt;=8,"Medium","Low")))</f>
        <v/>
      </c>
    </row>
    <row r="151">
      <c r="K151" s="15">
        <f>IF(AND(ISNUMBER(C151),ISNUMBER(D151)),C151*D151,"")</f>
        <v/>
      </c>
      <c r="L151" s="14">
        <f>IF(K151="","",IF(K151&gt;=15,"High",IF(K151&gt;=8,"Medium","Low")))</f>
        <v/>
      </c>
    </row>
    <row r="152">
      <c r="K152" s="15">
        <f>IF(AND(ISNUMBER(C152),ISNUMBER(D152)),C152*D152,"")</f>
        <v/>
      </c>
      <c r="L152" s="14">
        <f>IF(K152="","",IF(K152&gt;=15,"High",IF(K152&gt;=8,"Medium","Low")))</f>
        <v/>
      </c>
    </row>
    <row r="153">
      <c r="K153" s="15">
        <f>IF(AND(ISNUMBER(C153),ISNUMBER(D153)),C153*D153,"")</f>
        <v/>
      </c>
      <c r="L153" s="14">
        <f>IF(K153="","",IF(K153&gt;=15,"High",IF(K153&gt;=8,"Medium","Low")))</f>
        <v/>
      </c>
    </row>
    <row r="154">
      <c r="K154" s="15">
        <f>IF(AND(ISNUMBER(C154),ISNUMBER(D154)),C154*D154,"")</f>
        <v/>
      </c>
      <c r="L154" s="14">
        <f>IF(K154="","",IF(K154&gt;=15,"High",IF(K154&gt;=8,"Medium","Low")))</f>
        <v/>
      </c>
    </row>
    <row r="155">
      <c r="K155" s="15">
        <f>IF(AND(ISNUMBER(C155),ISNUMBER(D155)),C155*D155,"")</f>
        <v/>
      </c>
      <c r="L155" s="14">
        <f>IF(K155="","",IF(K155&gt;=15,"High",IF(K155&gt;=8,"Medium","Low")))</f>
        <v/>
      </c>
    </row>
    <row r="156">
      <c r="K156" s="15">
        <f>IF(AND(ISNUMBER(C156),ISNUMBER(D156)),C156*D156,"")</f>
        <v/>
      </c>
      <c r="L156" s="14">
        <f>IF(K156="","",IF(K156&gt;=15,"High",IF(K156&gt;=8,"Medium","Low")))</f>
        <v/>
      </c>
    </row>
    <row r="157">
      <c r="K157" s="15">
        <f>IF(AND(ISNUMBER(C157),ISNUMBER(D157)),C157*D157,"")</f>
        <v/>
      </c>
      <c r="L157" s="14">
        <f>IF(K157="","",IF(K157&gt;=15,"High",IF(K157&gt;=8,"Medium","Low")))</f>
        <v/>
      </c>
    </row>
    <row r="158">
      <c r="K158" s="15">
        <f>IF(AND(ISNUMBER(C158),ISNUMBER(D158)),C158*D158,"")</f>
        <v/>
      </c>
      <c r="L158" s="14">
        <f>IF(K158="","",IF(K158&gt;=15,"High",IF(K158&gt;=8,"Medium","Low")))</f>
        <v/>
      </c>
    </row>
    <row r="159">
      <c r="K159" s="15">
        <f>IF(AND(ISNUMBER(C159),ISNUMBER(D159)),C159*D159,"")</f>
        <v/>
      </c>
      <c r="L159" s="14">
        <f>IF(K159="","",IF(K159&gt;=15,"High",IF(K159&gt;=8,"Medium","Low")))</f>
        <v/>
      </c>
    </row>
    <row r="160">
      <c r="K160" s="15">
        <f>IF(AND(ISNUMBER(C160),ISNUMBER(D160)),C160*D160,"")</f>
        <v/>
      </c>
      <c r="L160" s="14">
        <f>IF(K160="","",IF(K160&gt;=15,"High",IF(K160&gt;=8,"Medium","Low")))</f>
        <v/>
      </c>
    </row>
    <row r="161">
      <c r="K161" s="15">
        <f>IF(AND(ISNUMBER(C161),ISNUMBER(D161)),C161*D161,"")</f>
        <v/>
      </c>
      <c r="L161" s="14">
        <f>IF(K161="","",IF(K161&gt;=15,"High",IF(K161&gt;=8,"Medium","Low")))</f>
        <v/>
      </c>
    </row>
    <row r="162">
      <c r="K162" s="15">
        <f>IF(AND(ISNUMBER(C162),ISNUMBER(D162)),C162*D162,"")</f>
        <v/>
      </c>
      <c r="L162" s="14">
        <f>IF(K162="","",IF(K162&gt;=15,"High",IF(K162&gt;=8,"Medium","Low")))</f>
        <v/>
      </c>
    </row>
    <row r="163">
      <c r="K163" s="15">
        <f>IF(AND(ISNUMBER(C163),ISNUMBER(D163)),C163*D163,"")</f>
        <v/>
      </c>
      <c r="L163" s="14">
        <f>IF(K163="","",IF(K163&gt;=15,"High",IF(K163&gt;=8,"Medium","Low")))</f>
        <v/>
      </c>
    </row>
    <row r="164">
      <c r="K164" s="15">
        <f>IF(AND(ISNUMBER(C164),ISNUMBER(D164)),C164*D164,"")</f>
        <v/>
      </c>
      <c r="L164" s="14">
        <f>IF(K164="","",IF(K164&gt;=15,"High",IF(K164&gt;=8,"Medium","Low")))</f>
        <v/>
      </c>
    </row>
    <row r="165">
      <c r="K165" s="15">
        <f>IF(AND(ISNUMBER(C165),ISNUMBER(D165)),C165*D165,"")</f>
        <v/>
      </c>
      <c r="L165" s="14">
        <f>IF(K165="","",IF(K165&gt;=15,"High",IF(K165&gt;=8,"Medium","Low")))</f>
        <v/>
      </c>
    </row>
    <row r="166">
      <c r="K166" s="15">
        <f>IF(AND(ISNUMBER(C166),ISNUMBER(D166)),C166*D166,"")</f>
        <v/>
      </c>
      <c r="L166" s="14">
        <f>IF(K166="","",IF(K166&gt;=15,"High",IF(K166&gt;=8,"Medium","Low")))</f>
        <v/>
      </c>
    </row>
    <row r="167">
      <c r="K167" s="15">
        <f>IF(AND(ISNUMBER(C167),ISNUMBER(D167)),C167*D167,"")</f>
        <v/>
      </c>
      <c r="L167" s="14">
        <f>IF(K167="","",IF(K167&gt;=15,"High",IF(K167&gt;=8,"Medium","Low")))</f>
        <v/>
      </c>
    </row>
    <row r="168">
      <c r="K168" s="15">
        <f>IF(AND(ISNUMBER(C168),ISNUMBER(D168)),C168*D168,"")</f>
        <v/>
      </c>
      <c r="L168" s="14">
        <f>IF(K168="","",IF(K168&gt;=15,"High",IF(K168&gt;=8,"Medium","Low")))</f>
        <v/>
      </c>
    </row>
    <row r="169">
      <c r="K169" s="15">
        <f>IF(AND(ISNUMBER(C169),ISNUMBER(D169)),C169*D169,"")</f>
        <v/>
      </c>
      <c r="L169" s="14">
        <f>IF(K169="","",IF(K169&gt;=15,"High",IF(K169&gt;=8,"Medium","Low")))</f>
        <v/>
      </c>
    </row>
    <row r="170">
      <c r="K170" s="15">
        <f>IF(AND(ISNUMBER(C170),ISNUMBER(D170)),C170*D170,"")</f>
        <v/>
      </c>
      <c r="L170" s="14">
        <f>IF(K170="","",IF(K170&gt;=15,"High",IF(K170&gt;=8,"Medium","Low")))</f>
        <v/>
      </c>
    </row>
    <row r="171">
      <c r="K171" s="15">
        <f>IF(AND(ISNUMBER(C171),ISNUMBER(D171)),C171*D171,"")</f>
        <v/>
      </c>
      <c r="L171" s="14">
        <f>IF(K171="","",IF(K171&gt;=15,"High",IF(K171&gt;=8,"Medium","Low")))</f>
        <v/>
      </c>
    </row>
    <row r="172">
      <c r="K172" s="15">
        <f>IF(AND(ISNUMBER(C172),ISNUMBER(D172)),C172*D172,"")</f>
        <v/>
      </c>
      <c r="L172" s="14">
        <f>IF(K172="","",IF(K172&gt;=15,"High",IF(K172&gt;=8,"Medium","Low")))</f>
        <v/>
      </c>
    </row>
    <row r="173">
      <c r="K173" s="15">
        <f>IF(AND(ISNUMBER(C173),ISNUMBER(D173)),C173*D173,"")</f>
        <v/>
      </c>
      <c r="L173" s="14">
        <f>IF(K173="","",IF(K173&gt;=15,"High",IF(K173&gt;=8,"Medium","Low")))</f>
        <v/>
      </c>
    </row>
    <row r="174">
      <c r="K174" s="15">
        <f>IF(AND(ISNUMBER(C174),ISNUMBER(D174)),C174*D174,"")</f>
        <v/>
      </c>
      <c r="L174" s="14">
        <f>IF(K174="","",IF(K174&gt;=15,"High",IF(K174&gt;=8,"Medium","Low")))</f>
        <v/>
      </c>
    </row>
    <row r="175">
      <c r="K175" s="15">
        <f>IF(AND(ISNUMBER(C175),ISNUMBER(D175)),C175*D175,"")</f>
        <v/>
      </c>
      <c r="L175" s="14">
        <f>IF(K175="","",IF(K175&gt;=15,"High",IF(K175&gt;=8,"Medium","Low")))</f>
        <v/>
      </c>
    </row>
    <row r="176">
      <c r="K176" s="15">
        <f>IF(AND(ISNUMBER(C176),ISNUMBER(D176)),C176*D176,"")</f>
        <v/>
      </c>
      <c r="L176" s="14">
        <f>IF(K176="","",IF(K176&gt;=15,"High",IF(K176&gt;=8,"Medium","Low")))</f>
        <v/>
      </c>
    </row>
    <row r="177">
      <c r="K177" s="15">
        <f>IF(AND(ISNUMBER(C177),ISNUMBER(D177)),C177*D177,"")</f>
        <v/>
      </c>
      <c r="L177" s="14">
        <f>IF(K177="","",IF(K177&gt;=15,"High",IF(K177&gt;=8,"Medium","Low")))</f>
        <v/>
      </c>
    </row>
    <row r="178">
      <c r="K178" s="15">
        <f>IF(AND(ISNUMBER(C178),ISNUMBER(D178)),C178*D178,"")</f>
        <v/>
      </c>
      <c r="L178" s="14">
        <f>IF(K178="","",IF(K178&gt;=15,"High",IF(K178&gt;=8,"Medium","Low")))</f>
        <v/>
      </c>
    </row>
    <row r="179">
      <c r="K179" s="15">
        <f>IF(AND(ISNUMBER(C179),ISNUMBER(D179)),C179*D179,"")</f>
        <v/>
      </c>
      <c r="L179" s="14">
        <f>IF(K179="","",IF(K179&gt;=15,"High",IF(K179&gt;=8,"Medium","Low")))</f>
        <v/>
      </c>
    </row>
    <row r="180">
      <c r="K180" s="15">
        <f>IF(AND(ISNUMBER(C180),ISNUMBER(D180)),C180*D180,"")</f>
        <v/>
      </c>
      <c r="L180" s="14">
        <f>IF(K180="","",IF(K180&gt;=15,"High",IF(K180&gt;=8,"Medium","Low")))</f>
        <v/>
      </c>
    </row>
    <row r="181">
      <c r="K181" s="15">
        <f>IF(AND(ISNUMBER(C181),ISNUMBER(D181)),C181*D181,"")</f>
        <v/>
      </c>
      <c r="L181" s="14">
        <f>IF(K181="","",IF(K181&gt;=15,"High",IF(K181&gt;=8,"Medium","Low")))</f>
        <v/>
      </c>
    </row>
    <row r="182">
      <c r="K182" s="15">
        <f>IF(AND(ISNUMBER(C182),ISNUMBER(D182)),C182*D182,"")</f>
        <v/>
      </c>
      <c r="L182" s="14">
        <f>IF(K182="","",IF(K182&gt;=15,"High",IF(K182&gt;=8,"Medium","Low")))</f>
        <v/>
      </c>
    </row>
    <row r="183">
      <c r="K183" s="15">
        <f>IF(AND(ISNUMBER(C183),ISNUMBER(D183)),C183*D183,"")</f>
        <v/>
      </c>
      <c r="L183" s="14">
        <f>IF(K183="","",IF(K183&gt;=15,"High",IF(K183&gt;=8,"Medium","Low")))</f>
        <v/>
      </c>
    </row>
    <row r="184">
      <c r="K184" s="15">
        <f>IF(AND(ISNUMBER(C184),ISNUMBER(D184)),C184*D184,"")</f>
        <v/>
      </c>
      <c r="L184" s="14">
        <f>IF(K184="","",IF(K184&gt;=15,"High",IF(K184&gt;=8,"Medium","Low")))</f>
        <v/>
      </c>
    </row>
    <row r="185">
      <c r="K185" s="15">
        <f>IF(AND(ISNUMBER(C185),ISNUMBER(D185)),C185*D185,"")</f>
        <v/>
      </c>
      <c r="L185" s="14">
        <f>IF(K185="","",IF(K185&gt;=15,"High",IF(K185&gt;=8,"Medium","Low")))</f>
        <v/>
      </c>
    </row>
    <row r="186">
      <c r="K186" s="15">
        <f>IF(AND(ISNUMBER(C186),ISNUMBER(D186)),C186*D186,"")</f>
        <v/>
      </c>
      <c r="L186" s="14">
        <f>IF(K186="","",IF(K186&gt;=15,"High",IF(K186&gt;=8,"Medium","Low")))</f>
        <v/>
      </c>
    </row>
    <row r="187">
      <c r="K187" s="15">
        <f>IF(AND(ISNUMBER(C187),ISNUMBER(D187)),C187*D187,"")</f>
        <v/>
      </c>
      <c r="L187" s="14">
        <f>IF(K187="","",IF(K187&gt;=15,"High",IF(K187&gt;=8,"Medium","Low")))</f>
        <v/>
      </c>
    </row>
    <row r="188">
      <c r="K188" s="15">
        <f>IF(AND(ISNUMBER(C188),ISNUMBER(D188)),C188*D188,"")</f>
        <v/>
      </c>
      <c r="L188" s="14">
        <f>IF(K188="","",IF(K188&gt;=15,"High",IF(K188&gt;=8,"Medium","Low")))</f>
        <v/>
      </c>
    </row>
    <row r="189">
      <c r="K189" s="15">
        <f>IF(AND(ISNUMBER(C189),ISNUMBER(D189)),C189*D189,"")</f>
        <v/>
      </c>
      <c r="L189" s="14">
        <f>IF(K189="","",IF(K189&gt;=15,"High",IF(K189&gt;=8,"Medium","Low")))</f>
        <v/>
      </c>
    </row>
    <row r="190">
      <c r="K190" s="15">
        <f>IF(AND(ISNUMBER(C190),ISNUMBER(D190)),C190*D190,"")</f>
        <v/>
      </c>
      <c r="L190" s="14">
        <f>IF(K190="","",IF(K190&gt;=15,"High",IF(K190&gt;=8,"Medium","Low")))</f>
        <v/>
      </c>
    </row>
    <row r="191">
      <c r="K191" s="15">
        <f>IF(AND(ISNUMBER(C191),ISNUMBER(D191)),C191*D191,"")</f>
        <v/>
      </c>
      <c r="L191" s="14">
        <f>IF(K191="","",IF(K191&gt;=15,"High",IF(K191&gt;=8,"Medium","Low")))</f>
        <v/>
      </c>
    </row>
    <row r="192">
      <c r="K192" s="15">
        <f>IF(AND(ISNUMBER(C192),ISNUMBER(D192)),C192*D192,"")</f>
        <v/>
      </c>
      <c r="L192" s="14">
        <f>IF(K192="","",IF(K192&gt;=15,"High",IF(K192&gt;=8,"Medium","Low")))</f>
        <v/>
      </c>
    </row>
    <row r="193">
      <c r="K193" s="15">
        <f>IF(AND(ISNUMBER(C193),ISNUMBER(D193)),C193*D193,"")</f>
        <v/>
      </c>
      <c r="L193" s="14">
        <f>IF(K193="","",IF(K193&gt;=15,"High",IF(K193&gt;=8,"Medium","Low")))</f>
        <v/>
      </c>
    </row>
    <row r="194">
      <c r="K194" s="15">
        <f>IF(AND(ISNUMBER(C194),ISNUMBER(D194)),C194*D194,"")</f>
        <v/>
      </c>
      <c r="L194" s="14">
        <f>IF(K194="","",IF(K194&gt;=15,"High",IF(K194&gt;=8,"Medium","Low")))</f>
        <v/>
      </c>
    </row>
    <row r="195">
      <c r="K195" s="15">
        <f>IF(AND(ISNUMBER(C195),ISNUMBER(D195)),C195*D195,"")</f>
        <v/>
      </c>
      <c r="L195" s="14">
        <f>IF(K195="","",IF(K195&gt;=15,"High",IF(K195&gt;=8,"Medium","Low")))</f>
        <v/>
      </c>
    </row>
    <row r="196">
      <c r="K196" s="15">
        <f>IF(AND(ISNUMBER(C196),ISNUMBER(D196)),C196*D196,"")</f>
        <v/>
      </c>
      <c r="L196" s="14">
        <f>IF(K196="","",IF(K196&gt;=15,"High",IF(K196&gt;=8,"Medium","Low")))</f>
        <v/>
      </c>
    </row>
    <row r="197">
      <c r="K197" s="15">
        <f>IF(AND(ISNUMBER(C197),ISNUMBER(D197)),C197*D197,"")</f>
        <v/>
      </c>
      <c r="L197" s="14">
        <f>IF(K197="","",IF(K197&gt;=15,"High",IF(K197&gt;=8,"Medium","Low")))</f>
        <v/>
      </c>
    </row>
    <row r="198">
      <c r="K198" s="15">
        <f>IF(AND(ISNUMBER(C198),ISNUMBER(D198)),C198*D198,"")</f>
        <v/>
      </c>
      <c r="L198" s="14">
        <f>IF(K198="","",IF(K198&gt;=15,"High",IF(K198&gt;=8,"Medium","Low")))</f>
        <v/>
      </c>
    </row>
    <row r="199">
      <c r="K199" s="15">
        <f>IF(AND(ISNUMBER(C199),ISNUMBER(D199)),C199*D199,"")</f>
        <v/>
      </c>
      <c r="L199" s="14">
        <f>IF(K199="","",IF(K199&gt;=15,"High",IF(K199&gt;=8,"Medium","Low")))</f>
        <v/>
      </c>
    </row>
    <row r="200">
      <c r="K200" s="15">
        <f>IF(AND(ISNUMBER(C200),ISNUMBER(D200)),C200*D200,"")</f>
        <v/>
      </c>
      <c r="L200" s="14">
        <f>IF(K200="","",IF(K200&gt;=15,"High",IF(K200&gt;=8,"Medium","Low")))</f>
        <v/>
      </c>
    </row>
    <row r="201">
      <c r="K201" s="15">
        <f>IF(AND(ISNUMBER(C201),ISNUMBER(D201)),C201*D201,"")</f>
        <v/>
      </c>
      <c r="L201" s="14">
        <f>IF(K201="","",IF(K201&gt;=15,"High",IF(K201&gt;=8,"Medium","Low")))</f>
        <v/>
      </c>
    </row>
    <row r="202">
      <c r="K202" s="15">
        <f>IF(AND(ISNUMBER(C202),ISNUMBER(D202)),C202*D202,"")</f>
        <v/>
      </c>
      <c r="L202" s="14">
        <f>IF(K202="","",IF(K202&gt;=15,"High",IF(K202&gt;=8,"Medium","Low")))</f>
        <v/>
      </c>
    </row>
    <row r="203">
      <c r="K203" s="15">
        <f>IF(AND(ISNUMBER(C203),ISNUMBER(D203)),C203*D203,"")</f>
        <v/>
      </c>
      <c r="L203" s="14">
        <f>IF(K203="","",IF(K203&gt;=15,"High",IF(K203&gt;=8,"Medium","Low")))</f>
        <v/>
      </c>
    </row>
    <row r="204">
      <c r="K204" s="15">
        <f>IF(AND(ISNUMBER(C204),ISNUMBER(D204)),C204*D204,"")</f>
        <v/>
      </c>
      <c r="L204" s="14">
        <f>IF(K204="","",IF(K204&gt;=15,"High",IF(K204&gt;=8,"Medium","Low")))</f>
        <v/>
      </c>
    </row>
    <row r="205">
      <c r="K205" s="15">
        <f>IF(AND(ISNUMBER(C205),ISNUMBER(D205)),C205*D205,"")</f>
        <v/>
      </c>
      <c r="L205" s="14">
        <f>IF(K205="","",IF(K205&gt;=15,"High",IF(K205&gt;=8,"Medium","Low")))</f>
        <v/>
      </c>
    </row>
    <row r="206">
      <c r="K206" s="15">
        <f>IF(AND(ISNUMBER(C206),ISNUMBER(D206)),C206*D206,"")</f>
        <v/>
      </c>
      <c r="L206" s="14">
        <f>IF(K206="","",IF(K206&gt;=15,"High",IF(K206&gt;=8,"Medium","Low")))</f>
        <v/>
      </c>
    </row>
    <row r="207">
      <c r="K207" s="15">
        <f>IF(AND(ISNUMBER(C207),ISNUMBER(D207)),C207*D207,"")</f>
        <v/>
      </c>
      <c r="L207" s="14">
        <f>IF(K207="","",IF(K207&gt;=15,"High",IF(K207&gt;=8,"Medium","Low")))</f>
        <v/>
      </c>
    </row>
    <row r="208">
      <c r="K208" s="15">
        <f>IF(AND(ISNUMBER(C208),ISNUMBER(D208)),C208*D208,"")</f>
        <v/>
      </c>
      <c r="L208" s="14">
        <f>IF(K208="","",IF(K208&gt;=15,"High",IF(K208&gt;=8,"Medium","Low")))</f>
        <v/>
      </c>
    </row>
    <row r="209">
      <c r="K209" s="15">
        <f>IF(AND(ISNUMBER(C209),ISNUMBER(D209)),C209*D209,"")</f>
        <v/>
      </c>
      <c r="L209" s="14">
        <f>IF(K209="","",IF(K209&gt;=15,"High",IF(K209&gt;=8,"Medium","Low")))</f>
        <v/>
      </c>
    </row>
    <row r="210">
      <c r="K210" s="15">
        <f>IF(AND(ISNUMBER(C210),ISNUMBER(D210)),C210*D210,"")</f>
        <v/>
      </c>
      <c r="L210" s="14">
        <f>IF(K210="","",IF(K210&gt;=15,"High",IF(K210&gt;=8,"Medium","Low")))</f>
        <v/>
      </c>
    </row>
    <row r="211">
      <c r="K211" s="15">
        <f>IF(AND(ISNUMBER(C211),ISNUMBER(D211)),C211*D211,"")</f>
        <v/>
      </c>
      <c r="L211" s="14">
        <f>IF(K211="","",IF(K211&gt;=15,"High",IF(K211&gt;=8,"Medium","Low")))</f>
        <v/>
      </c>
    </row>
    <row r="212">
      <c r="K212" s="15">
        <f>IF(AND(ISNUMBER(C212),ISNUMBER(D212)),C212*D212,"")</f>
        <v/>
      </c>
      <c r="L212" s="14">
        <f>IF(K212="","",IF(K212&gt;=15,"High",IF(K212&gt;=8,"Medium","Low")))</f>
        <v/>
      </c>
    </row>
    <row r="213">
      <c r="K213" s="15">
        <f>IF(AND(ISNUMBER(C213),ISNUMBER(D213)),C213*D213,"")</f>
        <v/>
      </c>
      <c r="L213" s="14">
        <f>IF(K213="","",IF(K213&gt;=15,"High",IF(K213&gt;=8,"Medium","Low")))</f>
        <v/>
      </c>
    </row>
    <row r="214">
      <c r="K214" s="15">
        <f>IF(AND(ISNUMBER(C214),ISNUMBER(D214)),C214*D214,"")</f>
        <v/>
      </c>
      <c r="L214" s="14">
        <f>IF(K214="","",IF(K214&gt;=15,"High",IF(K214&gt;=8,"Medium","Low")))</f>
        <v/>
      </c>
    </row>
    <row r="215">
      <c r="K215" s="15">
        <f>IF(AND(ISNUMBER(C215),ISNUMBER(D215)),C215*D215,"")</f>
        <v/>
      </c>
      <c r="L215" s="14">
        <f>IF(K215="","",IF(K215&gt;=15,"High",IF(K215&gt;=8,"Medium","Low")))</f>
        <v/>
      </c>
    </row>
    <row r="216">
      <c r="K216" s="15">
        <f>IF(AND(ISNUMBER(C216),ISNUMBER(D216)),C216*D216,"")</f>
        <v/>
      </c>
      <c r="L216" s="14">
        <f>IF(K216="","",IF(K216&gt;=15,"High",IF(K216&gt;=8,"Medium","Low")))</f>
        <v/>
      </c>
    </row>
    <row r="217">
      <c r="K217" s="15">
        <f>IF(AND(ISNUMBER(C217),ISNUMBER(D217)),C217*D217,"")</f>
        <v/>
      </c>
      <c r="L217" s="14">
        <f>IF(K217="","",IF(K217&gt;=15,"High",IF(K217&gt;=8,"Medium","Low")))</f>
        <v/>
      </c>
    </row>
    <row r="218">
      <c r="K218" s="15">
        <f>IF(AND(ISNUMBER(C218),ISNUMBER(D218)),C218*D218,"")</f>
        <v/>
      </c>
      <c r="L218" s="14">
        <f>IF(K218="","",IF(K218&gt;=15,"High",IF(K218&gt;=8,"Medium","Low")))</f>
        <v/>
      </c>
    </row>
    <row r="219">
      <c r="K219" s="15">
        <f>IF(AND(ISNUMBER(C219),ISNUMBER(D219)),C219*D219,"")</f>
        <v/>
      </c>
      <c r="L219" s="14">
        <f>IF(K219="","",IF(K219&gt;=15,"High",IF(K219&gt;=8,"Medium","Low")))</f>
        <v/>
      </c>
    </row>
    <row r="220">
      <c r="K220" s="15">
        <f>IF(AND(ISNUMBER(C220),ISNUMBER(D220)),C220*D220,"")</f>
        <v/>
      </c>
      <c r="L220" s="14">
        <f>IF(K220="","",IF(K220&gt;=15,"High",IF(K220&gt;=8,"Medium","Low")))</f>
        <v/>
      </c>
    </row>
    <row r="221">
      <c r="K221" s="15">
        <f>IF(AND(ISNUMBER(C221),ISNUMBER(D221)),C221*D221,"")</f>
        <v/>
      </c>
      <c r="L221" s="14">
        <f>IF(K221="","",IF(K221&gt;=15,"High",IF(K221&gt;=8,"Medium","Low")))</f>
        <v/>
      </c>
    </row>
    <row r="222">
      <c r="K222" s="15">
        <f>IF(AND(ISNUMBER(C222),ISNUMBER(D222)),C222*D222,"")</f>
        <v/>
      </c>
      <c r="L222" s="14">
        <f>IF(K222="","",IF(K222&gt;=15,"High",IF(K222&gt;=8,"Medium","Low")))</f>
        <v/>
      </c>
    </row>
    <row r="223">
      <c r="K223" s="15">
        <f>IF(AND(ISNUMBER(C223),ISNUMBER(D223)),C223*D223,"")</f>
        <v/>
      </c>
      <c r="L223" s="14">
        <f>IF(K223="","",IF(K223&gt;=15,"High",IF(K223&gt;=8,"Medium","Low")))</f>
        <v/>
      </c>
    </row>
    <row r="224">
      <c r="K224" s="15">
        <f>IF(AND(ISNUMBER(C224),ISNUMBER(D224)),C224*D224,"")</f>
        <v/>
      </c>
      <c r="L224" s="14">
        <f>IF(K224="","",IF(K224&gt;=15,"High",IF(K224&gt;=8,"Medium","Low")))</f>
        <v/>
      </c>
    </row>
    <row r="225">
      <c r="K225" s="15">
        <f>IF(AND(ISNUMBER(C225),ISNUMBER(D225)),C225*D225,"")</f>
        <v/>
      </c>
      <c r="L225" s="14">
        <f>IF(K225="","",IF(K225&gt;=15,"High",IF(K225&gt;=8,"Medium","Low")))</f>
        <v/>
      </c>
    </row>
    <row r="226">
      <c r="K226" s="15">
        <f>IF(AND(ISNUMBER(C226),ISNUMBER(D226)),C226*D226,"")</f>
        <v/>
      </c>
      <c r="L226" s="14">
        <f>IF(K226="","",IF(K226&gt;=15,"High",IF(K226&gt;=8,"Medium","Low")))</f>
        <v/>
      </c>
    </row>
    <row r="227">
      <c r="K227" s="15">
        <f>IF(AND(ISNUMBER(C227),ISNUMBER(D227)),C227*D227,"")</f>
        <v/>
      </c>
      <c r="L227" s="14">
        <f>IF(K227="","",IF(K227&gt;=15,"High",IF(K227&gt;=8,"Medium","Low")))</f>
        <v/>
      </c>
    </row>
    <row r="228">
      <c r="K228" s="15">
        <f>IF(AND(ISNUMBER(C228),ISNUMBER(D228)),C228*D228,"")</f>
        <v/>
      </c>
      <c r="L228" s="14">
        <f>IF(K228="","",IF(K228&gt;=15,"High",IF(K228&gt;=8,"Medium","Low")))</f>
        <v/>
      </c>
    </row>
    <row r="229">
      <c r="K229" s="15">
        <f>IF(AND(ISNUMBER(C229),ISNUMBER(D229)),C229*D229,"")</f>
        <v/>
      </c>
      <c r="L229" s="14">
        <f>IF(K229="","",IF(K229&gt;=15,"High",IF(K229&gt;=8,"Medium","Low")))</f>
        <v/>
      </c>
    </row>
    <row r="230">
      <c r="K230" s="15">
        <f>IF(AND(ISNUMBER(C230),ISNUMBER(D230)),C230*D230,"")</f>
        <v/>
      </c>
      <c r="L230" s="14">
        <f>IF(K230="","",IF(K230&gt;=15,"High",IF(K230&gt;=8,"Medium","Low")))</f>
        <v/>
      </c>
    </row>
    <row r="231">
      <c r="K231" s="15">
        <f>IF(AND(ISNUMBER(C231),ISNUMBER(D231)),C231*D231,"")</f>
        <v/>
      </c>
      <c r="L231" s="14">
        <f>IF(K231="","",IF(K231&gt;=15,"High",IF(K231&gt;=8,"Medium","Low")))</f>
        <v/>
      </c>
    </row>
    <row r="232">
      <c r="K232" s="15">
        <f>IF(AND(ISNUMBER(C232),ISNUMBER(D232)),C232*D232,"")</f>
        <v/>
      </c>
      <c r="L232" s="14">
        <f>IF(K232="","",IF(K232&gt;=15,"High",IF(K232&gt;=8,"Medium","Low")))</f>
        <v/>
      </c>
    </row>
    <row r="233">
      <c r="K233" s="15">
        <f>IF(AND(ISNUMBER(C233),ISNUMBER(D233)),C233*D233,"")</f>
        <v/>
      </c>
      <c r="L233" s="14">
        <f>IF(K233="","",IF(K233&gt;=15,"High",IF(K233&gt;=8,"Medium","Low")))</f>
        <v/>
      </c>
    </row>
    <row r="234">
      <c r="K234" s="15">
        <f>IF(AND(ISNUMBER(C234),ISNUMBER(D234)),C234*D234,"")</f>
        <v/>
      </c>
      <c r="L234" s="14">
        <f>IF(K234="","",IF(K234&gt;=15,"High",IF(K234&gt;=8,"Medium","Low")))</f>
        <v/>
      </c>
    </row>
    <row r="235">
      <c r="K235" s="15">
        <f>IF(AND(ISNUMBER(C235),ISNUMBER(D235)),C235*D235,"")</f>
        <v/>
      </c>
      <c r="L235" s="14">
        <f>IF(K235="","",IF(K235&gt;=15,"High",IF(K235&gt;=8,"Medium","Low")))</f>
        <v/>
      </c>
    </row>
    <row r="236">
      <c r="K236" s="15">
        <f>IF(AND(ISNUMBER(C236),ISNUMBER(D236)),C236*D236,"")</f>
        <v/>
      </c>
      <c r="L236" s="14">
        <f>IF(K236="","",IF(K236&gt;=15,"High",IF(K236&gt;=8,"Medium","Low")))</f>
        <v/>
      </c>
    </row>
    <row r="237">
      <c r="K237" s="15">
        <f>IF(AND(ISNUMBER(C237),ISNUMBER(D237)),C237*D237,"")</f>
        <v/>
      </c>
      <c r="L237" s="14">
        <f>IF(K237="","",IF(K237&gt;=15,"High",IF(K237&gt;=8,"Medium","Low")))</f>
        <v/>
      </c>
    </row>
    <row r="238">
      <c r="K238" s="15">
        <f>IF(AND(ISNUMBER(C238),ISNUMBER(D238)),C238*D238,"")</f>
        <v/>
      </c>
      <c r="L238" s="14">
        <f>IF(K238="","",IF(K238&gt;=15,"High",IF(K238&gt;=8,"Medium","Low")))</f>
        <v/>
      </c>
    </row>
    <row r="239">
      <c r="K239" s="15">
        <f>IF(AND(ISNUMBER(C239),ISNUMBER(D239)),C239*D239,"")</f>
        <v/>
      </c>
      <c r="L239" s="14">
        <f>IF(K239="","",IF(K239&gt;=15,"High",IF(K239&gt;=8,"Medium","Low")))</f>
        <v/>
      </c>
    </row>
    <row r="240">
      <c r="K240" s="15">
        <f>IF(AND(ISNUMBER(C240),ISNUMBER(D240)),C240*D240,"")</f>
        <v/>
      </c>
      <c r="L240" s="14">
        <f>IF(K240="","",IF(K240&gt;=15,"High",IF(K240&gt;=8,"Medium","Low")))</f>
        <v/>
      </c>
    </row>
    <row r="241">
      <c r="K241" s="15">
        <f>IF(AND(ISNUMBER(C241),ISNUMBER(D241)),C241*D241,"")</f>
        <v/>
      </c>
      <c r="L241" s="14">
        <f>IF(K241="","",IF(K241&gt;=15,"High",IF(K241&gt;=8,"Medium","Low")))</f>
        <v/>
      </c>
    </row>
    <row r="242">
      <c r="K242" s="15">
        <f>IF(AND(ISNUMBER(C242),ISNUMBER(D242)),C242*D242,"")</f>
        <v/>
      </c>
      <c r="L242" s="14">
        <f>IF(K242="","",IF(K242&gt;=15,"High",IF(K242&gt;=8,"Medium","Low")))</f>
        <v/>
      </c>
    </row>
    <row r="243">
      <c r="K243" s="15">
        <f>IF(AND(ISNUMBER(C243),ISNUMBER(D243)),C243*D243,"")</f>
        <v/>
      </c>
      <c r="L243" s="14">
        <f>IF(K243="","",IF(K243&gt;=15,"High",IF(K243&gt;=8,"Medium","Low")))</f>
        <v/>
      </c>
    </row>
    <row r="244">
      <c r="K244" s="15">
        <f>IF(AND(ISNUMBER(C244),ISNUMBER(D244)),C244*D244,"")</f>
        <v/>
      </c>
      <c r="L244" s="14">
        <f>IF(K244="","",IF(K244&gt;=15,"High",IF(K244&gt;=8,"Medium","Low")))</f>
        <v/>
      </c>
    </row>
    <row r="245">
      <c r="K245" s="15">
        <f>IF(AND(ISNUMBER(C245),ISNUMBER(D245)),C245*D245,"")</f>
        <v/>
      </c>
      <c r="L245" s="14">
        <f>IF(K245="","",IF(K245&gt;=15,"High",IF(K245&gt;=8,"Medium","Low")))</f>
        <v/>
      </c>
    </row>
    <row r="246">
      <c r="K246" s="15">
        <f>IF(AND(ISNUMBER(C246),ISNUMBER(D246)),C246*D246,"")</f>
        <v/>
      </c>
      <c r="L246" s="14">
        <f>IF(K246="","",IF(K246&gt;=15,"High",IF(K246&gt;=8,"Medium","Low")))</f>
        <v/>
      </c>
    </row>
    <row r="247">
      <c r="K247" s="15">
        <f>IF(AND(ISNUMBER(C247),ISNUMBER(D247)),C247*D247,"")</f>
        <v/>
      </c>
      <c r="L247" s="14">
        <f>IF(K247="","",IF(K247&gt;=15,"High",IF(K247&gt;=8,"Medium","Low")))</f>
        <v/>
      </c>
    </row>
    <row r="248">
      <c r="K248" s="15">
        <f>IF(AND(ISNUMBER(C248),ISNUMBER(D248)),C248*D248,"")</f>
        <v/>
      </c>
      <c r="L248" s="14">
        <f>IF(K248="","",IF(K248&gt;=15,"High",IF(K248&gt;=8,"Medium","Low")))</f>
        <v/>
      </c>
    </row>
    <row r="249">
      <c r="K249" s="15">
        <f>IF(AND(ISNUMBER(C249),ISNUMBER(D249)),C249*D249,"")</f>
        <v/>
      </c>
      <c r="L249" s="14">
        <f>IF(K249="","",IF(K249&gt;=15,"High",IF(K249&gt;=8,"Medium","Low")))</f>
        <v/>
      </c>
    </row>
    <row r="250">
      <c r="K250" s="15">
        <f>IF(AND(ISNUMBER(C250),ISNUMBER(D250)),C250*D250,"")</f>
        <v/>
      </c>
      <c r="L250" s="14">
        <f>IF(K250="","",IF(K250&gt;=15,"High",IF(K250&gt;=8,"Medium","Low")))</f>
        <v/>
      </c>
    </row>
    <row r="251">
      <c r="K251" s="15">
        <f>IF(AND(ISNUMBER(C251),ISNUMBER(D251)),C251*D251,"")</f>
        <v/>
      </c>
      <c r="L251" s="14">
        <f>IF(K251="","",IF(K251&gt;=15,"High",IF(K251&gt;=8,"Medium","Low")))</f>
        <v/>
      </c>
    </row>
    <row r="252">
      <c r="K252" s="15">
        <f>IF(AND(ISNUMBER(C252),ISNUMBER(D252)),C252*D252,"")</f>
        <v/>
      </c>
      <c r="L252" s="14">
        <f>IF(K252="","",IF(K252&gt;=15,"High",IF(K252&gt;=8,"Medium","Low")))</f>
        <v/>
      </c>
    </row>
    <row r="253">
      <c r="K253" s="15">
        <f>IF(AND(ISNUMBER(C253),ISNUMBER(D253)),C253*D253,"")</f>
        <v/>
      </c>
      <c r="L253" s="14">
        <f>IF(K253="","",IF(K253&gt;=15,"High",IF(K253&gt;=8,"Medium","Low")))</f>
        <v/>
      </c>
    </row>
    <row r="254">
      <c r="K254" s="15">
        <f>IF(AND(ISNUMBER(C254),ISNUMBER(D254)),C254*D254,"")</f>
        <v/>
      </c>
      <c r="L254" s="14">
        <f>IF(K254="","",IF(K254&gt;=15,"High",IF(K254&gt;=8,"Medium","Low")))</f>
        <v/>
      </c>
    </row>
    <row r="255">
      <c r="K255" s="15">
        <f>IF(AND(ISNUMBER(C255),ISNUMBER(D255)),C255*D255,"")</f>
        <v/>
      </c>
      <c r="L255" s="14">
        <f>IF(K255="","",IF(K255&gt;=15,"High",IF(K255&gt;=8,"Medium","Low")))</f>
        <v/>
      </c>
    </row>
    <row r="256">
      <c r="K256" s="15">
        <f>IF(AND(ISNUMBER(C256),ISNUMBER(D256)),C256*D256,"")</f>
        <v/>
      </c>
      <c r="L256" s="14">
        <f>IF(K256="","",IF(K256&gt;=15,"High",IF(K256&gt;=8,"Medium","Low")))</f>
        <v/>
      </c>
    </row>
    <row r="257">
      <c r="K257" s="15">
        <f>IF(AND(ISNUMBER(C257),ISNUMBER(D257)),C257*D257,"")</f>
        <v/>
      </c>
      <c r="L257" s="14">
        <f>IF(K257="","",IF(K257&gt;=15,"High",IF(K257&gt;=8,"Medium","Low")))</f>
        <v/>
      </c>
    </row>
    <row r="258">
      <c r="K258" s="15">
        <f>IF(AND(ISNUMBER(C258),ISNUMBER(D258)),C258*D258,"")</f>
        <v/>
      </c>
      <c r="L258" s="14">
        <f>IF(K258="","",IF(K258&gt;=15,"High",IF(K258&gt;=8,"Medium","Low")))</f>
        <v/>
      </c>
    </row>
    <row r="259">
      <c r="K259" s="15">
        <f>IF(AND(ISNUMBER(C259),ISNUMBER(D259)),C259*D259,"")</f>
        <v/>
      </c>
      <c r="L259" s="14">
        <f>IF(K259="","",IF(K259&gt;=15,"High",IF(K259&gt;=8,"Medium","Low")))</f>
        <v/>
      </c>
    </row>
    <row r="260">
      <c r="K260" s="15">
        <f>IF(AND(ISNUMBER(C260),ISNUMBER(D260)),C260*D260,"")</f>
        <v/>
      </c>
      <c r="L260" s="14">
        <f>IF(K260="","",IF(K260&gt;=15,"High",IF(K260&gt;=8,"Medium","Low")))</f>
        <v/>
      </c>
    </row>
    <row r="261">
      <c r="K261" s="15">
        <f>IF(AND(ISNUMBER(C261),ISNUMBER(D261)),C261*D261,"")</f>
        <v/>
      </c>
      <c r="L261" s="14">
        <f>IF(K261="","",IF(K261&gt;=15,"High",IF(K261&gt;=8,"Medium","Low")))</f>
        <v/>
      </c>
    </row>
    <row r="262">
      <c r="K262" s="15">
        <f>IF(AND(ISNUMBER(C262),ISNUMBER(D262)),C262*D262,"")</f>
        <v/>
      </c>
      <c r="L262" s="14">
        <f>IF(K262="","",IF(K262&gt;=15,"High",IF(K262&gt;=8,"Medium","Low")))</f>
        <v/>
      </c>
    </row>
    <row r="263">
      <c r="K263" s="15">
        <f>IF(AND(ISNUMBER(C263),ISNUMBER(D263)),C263*D263,"")</f>
        <v/>
      </c>
      <c r="L263" s="14">
        <f>IF(K263="","",IF(K263&gt;=15,"High",IF(K263&gt;=8,"Medium","Low")))</f>
        <v/>
      </c>
    </row>
    <row r="264">
      <c r="K264" s="15">
        <f>IF(AND(ISNUMBER(C264),ISNUMBER(D264)),C264*D264,"")</f>
        <v/>
      </c>
      <c r="L264" s="14">
        <f>IF(K264="","",IF(K264&gt;=15,"High",IF(K264&gt;=8,"Medium","Low")))</f>
        <v/>
      </c>
    </row>
    <row r="265">
      <c r="K265" s="15">
        <f>IF(AND(ISNUMBER(C265),ISNUMBER(D265)),C265*D265,"")</f>
        <v/>
      </c>
      <c r="L265" s="14">
        <f>IF(K265="","",IF(K265&gt;=15,"High",IF(K265&gt;=8,"Medium","Low")))</f>
        <v/>
      </c>
    </row>
    <row r="266">
      <c r="K266" s="15">
        <f>IF(AND(ISNUMBER(C266),ISNUMBER(D266)),C266*D266,"")</f>
        <v/>
      </c>
      <c r="L266" s="14">
        <f>IF(K266="","",IF(K266&gt;=15,"High",IF(K266&gt;=8,"Medium","Low")))</f>
        <v/>
      </c>
    </row>
    <row r="267">
      <c r="K267" s="15">
        <f>IF(AND(ISNUMBER(C267),ISNUMBER(D267)),C267*D267,"")</f>
        <v/>
      </c>
      <c r="L267" s="14">
        <f>IF(K267="","",IF(K267&gt;=15,"High",IF(K267&gt;=8,"Medium","Low")))</f>
        <v/>
      </c>
    </row>
    <row r="268">
      <c r="K268" s="15">
        <f>IF(AND(ISNUMBER(C268),ISNUMBER(D268)),C268*D268,"")</f>
        <v/>
      </c>
      <c r="L268" s="14">
        <f>IF(K268="","",IF(K268&gt;=15,"High",IF(K268&gt;=8,"Medium","Low")))</f>
        <v/>
      </c>
    </row>
    <row r="269">
      <c r="K269" s="15">
        <f>IF(AND(ISNUMBER(C269),ISNUMBER(D269)),C269*D269,"")</f>
        <v/>
      </c>
      <c r="L269" s="14">
        <f>IF(K269="","",IF(K269&gt;=15,"High",IF(K269&gt;=8,"Medium","Low")))</f>
        <v/>
      </c>
    </row>
    <row r="270">
      <c r="K270" s="15">
        <f>IF(AND(ISNUMBER(C270),ISNUMBER(D270)),C270*D270,"")</f>
        <v/>
      </c>
      <c r="L270" s="14">
        <f>IF(K270="","",IF(K270&gt;=15,"High",IF(K270&gt;=8,"Medium","Low")))</f>
        <v/>
      </c>
    </row>
    <row r="271">
      <c r="K271" s="15">
        <f>IF(AND(ISNUMBER(C271),ISNUMBER(D271)),C271*D271,"")</f>
        <v/>
      </c>
      <c r="L271" s="14">
        <f>IF(K271="","",IF(K271&gt;=15,"High",IF(K271&gt;=8,"Medium","Low")))</f>
        <v/>
      </c>
    </row>
    <row r="272">
      <c r="K272" s="15">
        <f>IF(AND(ISNUMBER(C272),ISNUMBER(D272)),C272*D272,"")</f>
        <v/>
      </c>
      <c r="L272" s="14">
        <f>IF(K272="","",IF(K272&gt;=15,"High",IF(K272&gt;=8,"Medium","Low")))</f>
        <v/>
      </c>
    </row>
    <row r="273">
      <c r="K273" s="15">
        <f>IF(AND(ISNUMBER(C273),ISNUMBER(D273)),C273*D273,"")</f>
        <v/>
      </c>
      <c r="L273" s="14">
        <f>IF(K273="","",IF(K273&gt;=15,"High",IF(K273&gt;=8,"Medium","Low")))</f>
        <v/>
      </c>
    </row>
    <row r="274">
      <c r="K274" s="15">
        <f>IF(AND(ISNUMBER(C274),ISNUMBER(D274)),C274*D274,"")</f>
        <v/>
      </c>
      <c r="L274" s="14">
        <f>IF(K274="","",IF(K274&gt;=15,"High",IF(K274&gt;=8,"Medium","Low")))</f>
        <v/>
      </c>
    </row>
    <row r="275">
      <c r="K275" s="15">
        <f>IF(AND(ISNUMBER(C275),ISNUMBER(D275)),C275*D275,"")</f>
        <v/>
      </c>
      <c r="L275" s="14">
        <f>IF(K275="","",IF(K275&gt;=15,"High",IF(K275&gt;=8,"Medium","Low")))</f>
        <v/>
      </c>
    </row>
    <row r="276">
      <c r="K276" s="15">
        <f>IF(AND(ISNUMBER(C276),ISNUMBER(D276)),C276*D276,"")</f>
        <v/>
      </c>
      <c r="L276" s="14">
        <f>IF(K276="","",IF(K276&gt;=15,"High",IF(K276&gt;=8,"Medium","Low")))</f>
        <v/>
      </c>
    </row>
    <row r="277">
      <c r="K277" s="15">
        <f>IF(AND(ISNUMBER(C277),ISNUMBER(D277)),C277*D277,"")</f>
        <v/>
      </c>
      <c r="L277" s="14">
        <f>IF(K277="","",IF(K277&gt;=15,"High",IF(K277&gt;=8,"Medium","Low")))</f>
        <v/>
      </c>
    </row>
    <row r="278">
      <c r="K278" s="15">
        <f>IF(AND(ISNUMBER(C278),ISNUMBER(D278)),C278*D278,"")</f>
        <v/>
      </c>
      <c r="L278" s="14">
        <f>IF(K278="","",IF(K278&gt;=15,"High",IF(K278&gt;=8,"Medium","Low")))</f>
        <v/>
      </c>
    </row>
    <row r="279">
      <c r="K279" s="15">
        <f>IF(AND(ISNUMBER(C279),ISNUMBER(D279)),C279*D279,"")</f>
        <v/>
      </c>
      <c r="L279" s="14">
        <f>IF(K279="","",IF(K279&gt;=15,"High",IF(K279&gt;=8,"Medium","Low")))</f>
        <v/>
      </c>
    </row>
    <row r="280">
      <c r="K280" s="15">
        <f>IF(AND(ISNUMBER(C280),ISNUMBER(D280)),C280*D280,"")</f>
        <v/>
      </c>
      <c r="L280" s="14">
        <f>IF(K280="","",IF(K280&gt;=15,"High",IF(K280&gt;=8,"Medium","Low")))</f>
        <v/>
      </c>
    </row>
    <row r="281">
      <c r="K281" s="15">
        <f>IF(AND(ISNUMBER(C281),ISNUMBER(D281)),C281*D281,"")</f>
        <v/>
      </c>
      <c r="L281" s="14">
        <f>IF(K281="","",IF(K281&gt;=15,"High",IF(K281&gt;=8,"Medium","Low")))</f>
        <v/>
      </c>
    </row>
    <row r="282">
      <c r="K282" s="15">
        <f>IF(AND(ISNUMBER(C282),ISNUMBER(D282)),C282*D282,"")</f>
        <v/>
      </c>
      <c r="L282" s="14">
        <f>IF(K282="","",IF(K282&gt;=15,"High",IF(K282&gt;=8,"Medium","Low")))</f>
        <v/>
      </c>
    </row>
    <row r="283">
      <c r="K283" s="15">
        <f>IF(AND(ISNUMBER(C283),ISNUMBER(D283)),C283*D283,"")</f>
        <v/>
      </c>
      <c r="L283" s="14">
        <f>IF(K283="","",IF(K283&gt;=15,"High",IF(K283&gt;=8,"Medium","Low")))</f>
        <v/>
      </c>
    </row>
    <row r="284">
      <c r="K284" s="15">
        <f>IF(AND(ISNUMBER(C284),ISNUMBER(D284)),C284*D284,"")</f>
        <v/>
      </c>
      <c r="L284" s="14">
        <f>IF(K284="","",IF(K284&gt;=15,"High",IF(K284&gt;=8,"Medium","Low")))</f>
        <v/>
      </c>
    </row>
    <row r="285">
      <c r="K285" s="15">
        <f>IF(AND(ISNUMBER(C285),ISNUMBER(D285)),C285*D285,"")</f>
        <v/>
      </c>
      <c r="L285" s="14">
        <f>IF(K285="","",IF(K285&gt;=15,"High",IF(K285&gt;=8,"Medium","Low")))</f>
        <v/>
      </c>
    </row>
    <row r="286">
      <c r="K286" s="15">
        <f>IF(AND(ISNUMBER(C286),ISNUMBER(D286)),C286*D286,"")</f>
        <v/>
      </c>
      <c r="L286" s="14">
        <f>IF(K286="","",IF(K286&gt;=15,"High",IF(K286&gt;=8,"Medium","Low")))</f>
        <v/>
      </c>
    </row>
    <row r="287">
      <c r="K287" s="15">
        <f>IF(AND(ISNUMBER(C287),ISNUMBER(D287)),C287*D287,"")</f>
        <v/>
      </c>
      <c r="L287" s="14">
        <f>IF(K287="","",IF(K287&gt;=15,"High",IF(K287&gt;=8,"Medium","Low")))</f>
        <v/>
      </c>
    </row>
    <row r="288">
      <c r="K288" s="15">
        <f>IF(AND(ISNUMBER(C288),ISNUMBER(D288)),C288*D288,"")</f>
        <v/>
      </c>
      <c r="L288" s="14">
        <f>IF(K288="","",IF(K288&gt;=15,"High",IF(K288&gt;=8,"Medium","Low")))</f>
        <v/>
      </c>
    </row>
    <row r="289">
      <c r="K289" s="15">
        <f>IF(AND(ISNUMBER(C289),ISNUMBER(D289)),C289*D289,"")</f>
        <v/>
      </c>
      <c r="L289" s="14">
        <f>IF(K289="","",IF(K289&gt;=15,"High",IF(K289&gt;=8,"Medium","Low")))</f>
        <v/>
      </c>
    </row>
    <row r="290">
      <c r="K290" s="15">
        <f>IF(AND(ISNUMBER(C290),ISNUMBER(D290)),C290*D290,"")</f>
        <v/>
      </c>
      <c r="L290" s="14">
        <f>IF(K290="","",IF(K290&gt;=15,"High",IF(K290&gt;=8,"Medium","Low")))</f>
        <v/>
      </c>
    </row>
    <row r="291">
      <c r="K291" s="15">
        <f>IF(AND(ISNUMBER(C291),ISNUMBER(D291)),C291*D291,"")</f>
        <v/>
      </c>
      <c r="L291" s="14">
        <f>IF(K291="","",IF(K291&gt;=15,"High",IF(K291&gt;=8,"Medium","Low")))</f>
        <v/>
      </c>
    </row>
    <row r="292">
      <c r="K292" s="15">
        <f>IF(AND(ISNUMBER(C292),ISNUMBER(D292)),C292*D292,"")</f>
        <v/>
      </c>
      <c r="L292" s="14">
        <f>IF(K292="","",IF(K292&gt;=15,"High",IF(K292&gt;=8,"Medium","Low")))</f>
        <v/>
      </c>
    </row>
    <row r="293">
      <c r="K293" s="15">
        <f>IF(AND(ISNUMBER(C293),ISNUMBER(D293)),C293*D293,"")</f>
        <v/>
      </c>
      <c r="L293" s="14">
        <f>IF(K293="","",IF(K293&gt;=15,"High",IF(K293&gt;=8,"Medium","Low")))</f>
        <v/>
      </c>
    </row>
    <row r="294">
      <c r="K294" s="15">
        <f>IF(AND(ISNUMBER(C294),ISNUMBER(D294)),C294*D294,"")</f>
        <v/>
      </c>
      <c r="L294" s="14">
        <f>IF(K294="","",IF(K294&gt;=15,"High",IF(K294&gt;=8,"Medium","Low")))</f>
        <v/>
      </c>
    </row>
    <row r="295">
      <c r="K295" s="15">
        <f>IF(AND(ISNUMBER(C295),ISNUMBER(D295)),C295*D295,"")</f>
        <v/>
      </c>
      <c r="L295" s="14">
        <f>IF(K295="","",IF(K295&gt;=15,"High",IF(K295&gt;=8,"Medium","Low")))</f>
        <v/>
      </c>
    </row>
    <row r="296">
      <c r="K296" s="15">
        <f>IF(AND(ISNUMBER(C296),ISNUMBER(D296)),C296*D296,"")</f>
        <v/>
      </c>
      <c r="L296" s="14">
        <f>IF(K296="","",IF(K296&gt;=15,"High",IF(K296&gt;=8,"Medium","Low")))</f>
        <v/>
      </c>
    </row>
    <row r="297">
      <c r="K297" s="15">
        <f>IF(AND(ISNUMBER(C297),ISNUMBER(D297)),C297*D297,"")</f>
        <v/>
      </c>
      <c r="L297" s="14">
        <f>IF(K297="","",IF(K297&gt;=15,"High",IF(K297&gt;=8,"Medium","Low")))</f>
        <v/>
      </c>
    </row>
    <row r="298">
      <c r="K298" s="15">
        <f>IF(AND(ISNUMBER(C298),ISNUMBER(D298)),C298*D298,"")</f>
        <v/>
      </c>
      <c r="L298" s="14">
        <f>IF(K298="","",IF(K298&gt;=15,"High",IF(K298&gt;=8,"Medium","Low")))</f>
        <v/>
      </c>
    </row>
    <row r="299">
      <c r="K299" s="15">
        <f>IF(AND(ISNUMBER(C299),ISNUMBER(D299)),C299*D299,"")</f>
        <v/>
      </c>
      <c r="L299" s="14">
        <f>IF(K299="","",IF(K299&gt;=15,"High",IF(K299&gt;=8,"Medium","Low")))</f>
        <v/>
      </c>
    </row>
    <row r="300">
      <c r="K300" s="15">
        <f>IF(AND(ISNUMBER(C300),ISNUMBER(D300)),C300*D300,"")</f>
        <v/>
      </c>
      <c r="L300" s="14">
        <f>IF(K300="","",IF(K300&gt;=15,"High",IF(K300&gt;=8,"Medium","Low")))</f>
        <v/>
      </c>
    </row>
    <row r="301">
      <c r="K301" s="15">
        <f>IF(AND(ISNUMBER(C301),ISNUMBER(D301)),C301*D301,"")</f>
        <v/>
      </c>
      <c r="L301" s="14">
        <f>IF(K301="","",IF(K301&gt;=15,"High",IF(K301&gt;=8,"Medium","Low")))</f>
        <v/>
      </c>
    </row>
    <row r="302">
      <c r="K302" s="15">
        <f>IF(AND(ISNUMBER(C302),ISNUMBER(D302)),C302*D302,"")</f>
        <v/>
      </c>
      <c r="L302" s="14">
        <f>IF(K302="","",IF(K302&gt;=15,"High",IF(K302&gt;=8,"Medium","Low")))</f>
        <v/>
      </c>
    </row>
    <row r="303">
      <c r="K303" s="15">
        <f>IF(AND(ISNUMBER(C303),ISNUMBER(D303)),C303*D303,"")</f>
        <v/>
      </c>
      <c r="L303" s="14">
        <f>IF(K303="","",IF(K303&gt;=15,"High",IF(K303&gt;=8,"Medium","Low")))</f>
        <v/>
      </c>
    </row>
    <row r="304">
      <c r="K304" s="15">
        <f>IF(AND(ISNUMBER(C304),ISNUMBER(D304)),C304*D304,"")</f>
        <v/>
      </c>
      <c r="L304" s="14">
        <f>IF(K304="","",IF(K304&gt;=15,"High",IF(K304&gt;=8,"Medium","Low")))</f>
        <v/>
      </c>
    </row>
    <row r="305">
      <c r="K305" s="15">
        <f>IF(AND(ISNUMBER(C305),ISNUMBER(D305)),C305*D305,"")</f>
        <v/>
      </c>
      <c r="L305" s="14">
        <f>IF(K305="","",IF(K305&gt;=15,"High",IF(K305&gt;=8,"Medium","Low")))</f>
        <v/>
      </c>
    </row>
    <row r="306">
      <c r="K306" s="15">
        <f>IF(AND(ISNUMBER(C306),ISNUMBER(D306)),C306*D306,"")</f>
        <v/>
      </c>
      <c r="L306" s="14">
        <f>IF(K306="","",IF(K306&gt;=15,"High",IF(K306&gt;=8,"Medium","Low")))</f>
        <v/>
      </c>
    </row>
    <row r="307">
      <c r="K307" s="15">
        <f>IF(AND(ISNUMBER(C307),ISNUMBER(D307)),C307*D307,"")</f>
        <v/>
      </c>
      <c r="L307" s="14">
        <f>IF(K307="","",IF(K307&gt;=15,"High",IF(K307&gt;=8,"Medium","Low")))</f>
        <v/>
      </c>
    </row>
    <row r="308">
      <c r="K308" s="15">
        <f>IF(AND(ISNUMBER(C308),ISNUMBER(D308)),C308*D308,"")</f>
        <v/>
      </c>
      <c r="L308" s="14">
        <f>IF(K308="","",IF(K308&gt;=15,"High",IF(K308&gt;=8,"Medium","Low")))</f>
        <v/>
      </c>
    </row>
    <row r="309">
      <c r="K309" s="15">
        <f>IF(AND(ISNUMBER(C309),ISNUMBER(D309)),C309*D309,"")</f>
        <v/>
      </c>
      <c r="L309" s="14">
        <f>IF(K309="","",IF(K309&gt;=15,"High",IF(K309&gt;=8,"Medium","Low")))</f>
        <v/>
      </c>
    </row>
    <row r="310">
      <c r="K310" s="15">
        <f>IF(AND(ISNUMBER(C310),ISNUMBER(D310)),C310*D310,"")</f>
        <v/>
      </c>
      <c r="L310" s="14">
        <f>IF(K310="","",IF(K310&gt;=15,"High",IF(K310&gt;=8,"Medium","Low")))</f>
        <v/>
      </c>
    </row>
    <row r="311">
      <c r="K311" s="15">
        <f>IF(AND(ISNUMBER(C311),ISNUMBER(D311)),C311*D311,"")</f>
        <v/>
      </c>
      <c r="L311" s="14">
        <f>IF(K311="","",IF(K311&gt;=15,"High",IF(K311&gt;=8,"Medium","Low")))</f>
        <v/>
      </c>
    </row>
    <row r="312">
      <c r="K312" s="15">
        <f>IF(AND(ISNUMBER(C312),ISNUMBER(D312)),C312*D312,"")</f>
        <v/>
      </c>
      <c r="L312" s="14">
        <f>IF(K312="","",IF(K312&gt;=15,"High",IF(K312&gt;=8,"Medium","Low")))</f>
        <v/>
      </c>
    </row>
    <row r="313">
      <c r="K313" s="15">
        <f>IF(AND(ISNUMBER(C313),ISNUMBER(D313)),C313*D313,"")</f>
        <v/>
      </c>
      <c r="L313" s="14">
        <f>IF(K313="","",IF(K313&gt;=15,"High",IF(K313&gt;=8,"Medium","Low")))</f>
        <v/>
      </c>
    </row>
    <row r="314">
      <c r="K314" s="15">
        <f>IF(AND(ISNUMBER(C314),ISNUMBER(D314)),C314*D314,"")</f>
        <v/>
      </c>
      <c r="L314" s="14">
        <f>IF(K314="","",IF(K314&gt;=15,"High",IF(K314&gt;=8,"Medium","Low")))</f>
        <v/>
      </c>
    </row>
    <row r="315">
      <c r="K315" s="15">
        <f>IF(AND(ISNUMBER(C315),ISNUMBER(D315)),C315*D315,"")</f>
        <v/>
      </c>
      <c r="L315" s="14">
        <f>IF(K315="","",IF(K315&gt;=15,"High",IF(K315&gt;=8,"Medium","Low")))</f>
        <v/>
      </c>
    </row>
    <row r="316">
      <c r="K316" s="15">
        <f>IF(AND(ISNUMBER(C316),ISNUMBER(D316)),C316*D316,"")</f>
        <v/>
      </c>
      <c r="L316" s="14">
        <f>IF(K316="","",IF(K316&gt;=15,"High",IF(K316&gt;=8,"Medium","Low")))</f>
        <v/>
      </c>
    </row>
    <row r="317">
      <c r="K317" s="15">
        <f>IF(AND(ISNUMBER(C317),ISNUMBER(D317)),C317*D317,"")</f>
        <v/>
      </c>
      <c r="L317" s="14">
        <f>IF(K317="","",IF(K317&gt;=15,"High",IF(K317&gt;=8,"Medium","Low")))</f>
        <v/>
      </c>
    </row>
    <row r="318">
      <c r="K318" s="15">
        <f>IF(AND(ISNUMBER(C318),ISNUMBER(D318)),C318*D318,"")</f>
        <v/>
      </c>
      <c r="L318" s="14">
        <f>IF(K318="","",IF(K318&gt;=15,"High",IF(K318&gt;=8,"Medium","Low")))</f>
        <v/>
      </c>
    </row>
    <row r="319">
      <c r="K319" s="15">
        <f>IF(AND(ISNUMBER(C319),ISNUMBER(D319)),C319*D319,"")</f>
        <v/>
      </c>
      <c r="L319" s="14">
        <f>IF(K319="","",IF(K319&gt;=15,"High",IF(K319&gt;=8,"Medium","Low")))</f>
        <v/>
      </c>
    </row>
    <row r="320">
      <c r="K320" s="15">
        <f>IF(AND(ISNUMBER(C320),ISNUMBER(D320)),C320*D320,"")</f>
        <v/>
      </c>
      <c r="L320" s="14">
        <f>IF(K320="","",IF(K320&gt;=15,"High",IF(K320&gt;=8,"Medium","Low")))</f>
        <v/>
      </c>
    </row>
    <row r="321">
      <c r="K321" s="15">
        <f>IF(AND(ISNUMBER(C321),ISNUMBER(D321)),C321*D321,"")</f>
        <v/>
      </c>
      <c r="L321" s="14">
        <f>IF(K321="","",IF(K321&gt;=15,"High",IF(K321&gt;=8,"Medium","Low")))</f>
        <v/>
      </c>
    </row>
    <row r="322">
      <c r="K322" s="15">
        <f>IF(AND(ISNUMBER(C322),ISNUMBER(D322)),C322*D322,"")</f>
        <v/>
      </c>
      <c r="L322" s="14">
        <f>IF(K322="","",IF(K322&gt;=15,"High",IF(K322&gt;=8,"Medium","Low")))</f>
        <v/>
      </c>
    </row>
    <row r="323">
      <c r="K323" s="15">
        <f>IF(AND(ISNUMBER(C323),ISNUMBER(D323)),C323*D323,"")</f>
        <v/>
      </c>
      <c r="L323" s="14">
        <f>IF(K323="","",IF(K323&gt;=15,"High",IF(K323&gt;=8,"Medium","Low")))</f>
        <v/>
      </c>
    </row>
    <row r="324">
      <c r="K324" s="15">
        <f>IF(AND(ISNUMBER(C324),ISNUMBER(D324)),C324*D324,"")</f>
        <v/>
      </c>
      <c r="L324" s="14">
        <f>IF(K324="","",IF(K324&gt;=15,"High",IF(K324&gt;=8,"Medium","Low")))</f>
        <v/>
      </c>
    </row>
    <row r="325">
      <c r="K325" s="15">
        <f>IF(AND(ISNUMBER(C325),ISNUMBER(D325)),C325*D325,"")</f>
        <v/>
      </c>
      <c r="L325" s="14">
        <f>IF(K325="","",IF(K325&gt;=15,"High",IF(K325&gt;=8,"Medium","Low")))</f>
        <v/>
      </c>
    </row>
    <row r="326">
      <c r="K326" s="15">
        <f>IF(AND(ISNUMBER(C326),ISNUMBER(D326)),C326*D326,"")</f>
        <v/>
      </c>
      <c r="L326" s="14">
        <f>IF(K326="","",IF(K326&gt;=15,"High",IF(K326&gt;=8,"Medium","Low")))</f>
        <v/>
      </c>
    </row>
    <row r="327">
      <c r="K327" s="15">
        <f>IF(AND(ISNUMBER(C327),ISNUMBER(D327)),C327*D327,"")</f>
        <v/>
      </c>
      <c r="L327" s="14">
        <f>IF(K327="","",IF(K327&gt;=15,"High",IF(K327&gt;=8,"Medium","Low")))</f>
        <v/>
      </c>
    </row>
    <row r="328">
      <c r="K328" s="15">
        <f>IF(AND(ISNUMBER(C328),ISNUMBER(D328)),C328*D328,"")</f>
        <v/>
      </c>
      <c r="L328" s="14">
        <f>IF(K328="","",IF(K328&gt;=15,"High",IF(K328&gt;=8,"Medium","Low")))</f>
        <v/>
      </c>
    </row>
    <row r="329">
      <c r="K329" s="15">
        <f>IF(AND(ISNUMBER(C329),ISNUMBER(D329)),C329*D329,"")</f>
        <v/>
      </c>
      <c r="L329" s="14">
        <f>IF(K329="","",IF(K329&gt;=15,"High",IF(K329&gt;=8,"Medium","Low")))</f>
        <v/>
      </c>
    </row>
    <row r="330">
      <c r="K330" s="15">
        <f>IF(AND(ISNUMBER(C330),ISNUMBER(D330)),C330*D330,"")</f>
        <v/>
      </c>
      <c r="L330" s="14">
        <f>IF(K330="","",IF(K330&gt;=15,"High",IF(K330&gt;=8,"Medium","Low")))</f>
        <v/>
      </c>
    </row>
    <row r="331">
      <c r="K331" s="15">
        <f>IF(AND(ISNUMBER(C331),ISNUMBER(D331)),C331*D331,"")</f>
        <v/>
      </c>
      <c r="L331" s="14">
        <f>IF(K331="","",IF(K331&gt;=15,"High",IF(K331&gt;=8,"Medium","Low")))</f>
        <v/>
      </c>
    </row>
    <row r="332">
      <c r="K332" s="15">
        <f>IF(AND(ISNUMBER(C332),ISNUMBER(D332)),C332*D332,"")</f>
        <v/>
      </c>
      <c r="L332" s="14">
        <f>IF(K332="","",IF(K332&gt;=15,"High",IF(K332&gt;=8,"Medium","Low")))</f>
        <v/>
      </c>
    </row>
    <row r="333">
      <c r="K333" s="15">
        <f>IF(AND(ISNUMBER(C333),ISNUMBER(D333)),C333*D333,"")</f>
        <v/>
      </c>
      <c r="L333" s="14">
        <f>IF(K333="","",IF(K333&gt;=15,"High",IF(K333&gt;=8,"Medium","Low")))</f>
        <v/>
      </c>
    </row>
    <row r="334">
      <c r="K334" s="15">
        <f>IF(AND(ISNUMBER(C334),ISNUMBER(D334)),C334*D334,"")</f>
        <v/>
      </c>
      <c r="L334" s="14">
        <f>IF(K334="","",IF(K334&gt;=15,"High",IF(K334&gt;=8,"Medium","Low")))</f>
        <v/>
      </c>
    </row>
    <row r="335">
      <c r="K335" s="15">
        <f>IF(AND(ISNUMBER(C335),ISNUMBER(D335)),C335*D335,"")</f>
        <v/>
      </c>
      <c r="L335" s="14">
        <f>IF(K335="","",IF(K335&gt;=15,"High",IF(K335&gt;=8,"Medium","Low")))</f>
        <v/>
      </c>
    </row>
    <row r="336">
      <c r="K336" s="15">
        <f>IF(AND(ISNUMBER(C336),ISNUMBER(D336)),C336*D336,"")</f>
        <v/>
      </c>
      <c r="L336" s="14">
        <f>IF(K336="","",IF(K336&gt;=15,"High",IF(K336&gt;=8,"Medium","Low")))</f>
        <v/>
      </c>
    </row>
    <row r="337">
      <c r="K337" s="15">
        <f>IF(AND(ISNUMBER(C337),ISNUMBER(D337)),C337*D337,"")</f>
        <v/>
      </c>
      <c r="L337" s="14">
        <f>IF(K337="","",IF(K337&gt;=15,"High",IF(K337&gt;=8,"Medium","Low")))</f>
        <v/>
      </c>
    </row>
    <row r="338">
      <c r="K338" s="15">
        <f>IF(AND(ISNUMBER(C338),ISNUMBER(D338)),C338*D338,"")</f>
        <v/>
      </c>
      <c r="L338" s="14">
        <f>IF(K338="","",IF(K338&gt;=15,"High",IF(K338&gt;=8,"Medium","Low")))</f>
        <v/>
      </c>
    </row>
    <row r="339">
      <c r="K339" s="15">
        <f>IF(AND(ISNUMBER(C339),ISNUMBER(D339)),C339*D339,"")</f>
        <v/>
      </c>
      <c r="L339" s="14">
        <f>IF(K339="","",IF(K339&gt;=15,"High",IF(K339&gt;=8,"Medium","Low")))</f>
        <v/>
      </c>
    </row>
    <row r="340">
      <c r="K340" s="15">
        <f>IF(AND(ISNUMBER(C340),ISNUMBER(D340)),C340*D340,"")</f>
        <v/>
      </c>
      <c r="L340" s="14">
        <f>IF(K340="","",IF(K340&gt;=15,"High",IF(K340&gt;=8,"Medium","Low")))</f>
        <v/>
      </c>
    </row>
    <row r="341">
      <c r="K341" s="15">
        <f>IF(AND(ISNUMBER(C341),ISNUMBER(D341)),C341*D341,"")</f>
        <v/>
      </c>
      <c r="L341" s="14">
        <f>IF(K341="","",IF(K341&gt;=15,"High",IF(K341&gt;=8,"Medium","Low")))</f>
        <v/>
      </c>
    </row>
    <row r="342">
      <c r="K342" s="15">
        <f>IF(AND(ISNUMBER(C342),ISNUMBER(D342)),C342*D342,"")</f>
        <v/>
      </c>
      <c r="L342" s="14">
        <f>IF(K342="","",IF(K342&gt;=15,"High",IF(K342&gt;=8,"Medium","Low")))</f>
        <v/>
      </c>
    </row>
    <row r="343">
      <c r="K343" s="15">
        <f>IF(AND(ISNUMBER(C343),ISNUMBER(D343)),C343*D343,"")</f>
        <v/>
      </c>
      <c r="L343" s="14">
        <f>IF(K343="","",IF(K343&gt;=15,"High",IF(K343&gt;=8,"Medium","Low")))</f>
        <v/>
      </c>
    </row>
    <row r="344">
      <c r="K344" s="15">
        <f>IF(AND(ISNUMBER(C344),ISNUMBER(D344)),C344*D344,"")</f>
        <v/>
      </c>
      <c r="L344" s="14">
        <f>IF(K344="","",IF(K344&gt;=15,"High",IF(K344&gt;=8,"Medium","Low")))</f>
        <v/>
      </c>
    </row>
    <row r="345">
      <c r="K345" s="15">
        <f>IF(AND(ISNUMBER(C345),ISNUMBER(D345)),C345*D345,"")</f>
        <v/>
      </c>
      <c r="L345" s="14">
        <f>IF(K345="","",IF(K345&gt;=15,"High",IF(K345&gt;=8,"Medium","Low")))</f>
        <v/>
      </c>
    </row>
    <row r="346">
      <c r="K346" s="15">
        <f>IF(AND(ISNUMBER(C346),ISNUMBER(D346)),C346*D346,"")</f>
        <v/>
      </c>
      <c r="L346" s="14">
        <f>IF(K346="","",IF(K346&gt;=15,"High",IF(K346&gt;=8,"Medium","Low")))</f>
        <v/>
      </c>
    </row>
    <row r="347">
      <c r="K347" s="15">
        <f>IF(AND(ISNUMBER(C347),ISNUMBER(D347)),C347*D347,"")</f>
        <v/>
      </c>
      <c r="L347" s="14">
        <f>IF(K347="","",IF(K347&gt;=15,"High",IF(K347&gt;=8,"Medium","Low")))</f>
        <v/>
      </c>
    </row>
    <row r="348">
      <c r="K348" s="15">
        <f>IF(AND(ISNUMBER(C348),ISNUMBER(D348)),C348*D348,"")</f>
        <v/>
      </c>
      <c r="L348" s="14">
        <f>IF(K348="","",IF(K348&gt;=15,"High",IF(K348&gt;=8,"Medium","Low")))</f>
        <v/>
      </c>
    </row>
    <row r="349">
      <c r="K349" s="15">
        <f>IF(AND(ISNUMBER(C349),ISNUMBER(D349)),C349*D349,"")</f>
        <v/>
      </c>
      <c r="L349" s="14">
        <f>IF(K349="","",IF(K349&gt;=15,"High",IF(K349&gt;=8,"Medium","Low")))</f>
        <v/>
      </c>
    </row>
    <row r="350">
      <c r="K350" s="15">
        <f>IF(AND(ISNUMBER(C350),ISNUMBER(D350)),C350*D350,"")</f>
        <v/>
      </c>
      <c r="L350" s="14">
        <f>IF(K350="","",IF(K350&gt;=15,"High",IF(K350&gt;=8,"Medium","Low")))</f>
        <v/>
      </c>
    </row>
    <row r="351">
      <c r="K351" s="15">
        <f>IF(AND(ISNUMBER(C351),ISNUMBER(D351)),C351*D351,"")</f>
        <v/>
      </c>
      <c r="L351" s="14">
        <f>IF(K351="","",IF(K351&gt;=15,"High",IF(K351&gt;=8,"Medium","Low")))</f>
        <v/>
      </c>
    </row>
    <row r="352">
      <c r="K352" s="15">
        <f>IF(AND(ISNUMBER(C352),ISNUMBER(D352)),C352*D352,"")</f>
        <v/>
      </c>
      <c r="L352" s="14">
        <f>IF(K352="","",IF(K352&gt;=15,"High",IF(K352&gt;=8,"Medium","Low")))</f>
        <v/>
      </c>
    </row>
    <row r="353">
      <c r="K353" s="15">
        <f>IF(AND(ISNUMBER(C353),ISNUMBER(D353)),C353*D353,"")</f>
        <v/>
      </c>
      <c r="L353" s="14">
        <f>IF(K353="","",IF(K353&gt;=15,"High",IF(K353&gt;=8,"Medium","Low")))</f>
        <v/>
      </c>
    </row>
    <row r="354">
      <c r="K354" s="15">
        <f>IF(AND(ISNUMBER(C354),ISNUMBER(D354)),C354*D354,"")</f>
        <v/>
      </c>
      <c r="L354" s="14">
        <f>IF(K354="","",IF(K354&gt;=15,"High",IF(K354&gt;=8,"Medium","Low")))</f>
        <v/>
      </c>
    </row>
    <row r="355">
      <c r="K355" s="15">
        <f>IF(AND(ISNUMBER(C355),ISNUMBER(D355)),C355*D355,"")</f>
        <v/>
      </c>
      <c r="L355" s="14">
        <f>IF(K355="","",IF(K355&gt;=15,"High",IF(K355&gt;=8,"Medium","Low")))</f>
        <v/>
      </c>
    </row>
    <row r="356">
      <c r="K356" s="15">
        <f>IF(AND(ISNUMBER(C356),ISNUMBER(D356)),C356*D356,"")</f>
        <v/>
      </c>
      <c r="L356" s="14">
        <f>IF(K356="","",IF(K356&gt;=15,"High",IF(K356&gt;=8,"Medium","Low")))</f>
        <v/>
      </c>
    </row>
    <row r="357">
      <c r="K357" s="15">
        <f>IF(AND(ISNUMBER(C357),ISNUMBER(D357)),C357*D357,"")</f>
        <v/>
      </c>
      <c r="L357" s="14">
        <f>IF(K357="","",IF(K357&gt;=15,"High",IF(K357&gt;=8,"Medium","Low")))</f>
        <v/>
      </c>
    </row>
    <row r="358">
      <c r="K358" s="15">
        <f>IF(AND(ISNUMBER(C358),ISNUMBER(D358)),C358*D358,"")</f>
        <v/>
      </c>
      <c r="L358" s="14">
        <f>IF(K358="","",IF(K358&gt;=15,"High",IF(K358&gt;=8,"Medium","Low")))</f>
        <v/>
      </c>
    </row>
    <row r="359">
      <c r="K359" s="15">
        <f>IF(AND(ISNUMBER(C359),ISNUMBER(D359)),C359*D359,"")</f>
        <v/>
      </c>
      <c r="L359" s="14">
        <f>IF(K359="","",IF(K359&gt;=15,"High",IF(K359&gt;=8,"Medium","Low")))</f>
        <v/>
      </c>
    </row>
    <row r="360">
      <c r="K360" s="15">
        <f>IF(AND(ISNUMBER(C360),ISNUMBER(D360)),C360*D360,"")</f>
        <v/>
      </c>
      <c r="L360" s="14">
        <f>IF(K360="","",IF(K360&gt;=15,"High",IF(K360&gt;=8,"Medium","Low")))</f>
        <v/>
      </c>
    </row>
    <row r="361">
      <c r="K361" s="15">
        <f>IF(AND(ISNUMBER(C361),ISNUMBER(D361)),C361*D361,"")</f>
        <v/>
      </c>
      <c r="L361" s="14">
        <f>IF(K361="","",IF(K361&gt;=15,"High",IF(K361&gt;=8,"Medium","Low")))</f>
        <v/>
      </c>
    </row>
    <row r="362">
      <c r="K362" s="15">
        <f>IF(AND(ISNUMBER(C362),ISNUMBER(D362)),C362*D362,"")</f>
        <v/>
      </c>
      <c r="L362" s="14">
        <f>IF(K362="","",IF(K362&gt;=15,"High",IF(K362&gt;=8,"Medium","Low")))</f>
        <v/>
      </c>
    </row>
    <row r="363">
      <c r="K363" s="15">
        <f>IF(AND(ISNUMBER(C363),ISNUMBER(D363)),C363*D363,"")</f>
        <v/>
      </c>
      <c r="L363" s="14">
        <f>IF(K363="","",IF(K363&gt;=15,"High",IF(K363&gt;=8,"Medium","Low")))</f>
        <v/>
      </c>
    </row>
    <row r="364">
      <c r="K364" s="15">
        <f>IF(AND(ISNUMBER(C364),ISNUMBER(D364)),C364*D364,"")</f>
        <v/>
      </c>
      <c r="L364" s="14">
        <f>IF(K364="","",IF(K364&gt;=15,"High",IF(K364&gt;=8,"Medium","Low")))</f>
        <v/>
      </c>
    </row>
    <row r="365">
      <c r="K365" s="15">
        <f>IF(AND(ISNUMBER(C365),ISNUMBER(D365)),C365*D365,"")</f>
        <v/>
      </c>
      <c r="L365" s="14">
        <f>IF(K365="","",IF(K365&gt;=15,"High",IF(K365&gt;=8,"Medium","Low")))</f>
        <v/>
      </c>
    </row>
    <row r="366">
      <c r="K366" s="15">
        <f>IF(AND(ISNUMBER(C366),ISNUMBER(D366)),C366*D366,"")</f>
        <v/>
      </c>
      <c r="L366" s="14">
        <f>IF(K366="","",IF(K366&gt;=15,"High",IF(K366&gt;=8,"Medium","Low")))</f>
        <v/>
      </c>
    </row>
    <row r="367">
      <c r="K367" s="15">
        <f>IF(AND(ISNUMBER(C367),ISNUMBER(D367)),C367*D367,"")</f>
        <v/>
      </c>
      <c r="L367" s="14">
        <f>IF(K367="","",IF(K367&gt;=15,"High",IF(K367&gt;=8,"Medium","Low")))</f>
        <v/>
      </c>
    </row>
    <row r="368">
      <c r="K368" s="15">
        <f>IF(AND(ISNUMBER(C368),ISNUMBER(D368)),C368*D368,"")</f>
        <v/>
      </c>
      <c r="L368" s="14">
        <f>IF(K368="","",IF(K368&gt;=15,"High",IF(K368&gt;=8,"Medium","Low")))</f>
        <v/>
      </c>
    </row>
    <row r="369">
      <c r="K369" s="15">
        <f>IF(AND(ISNUMBER(C369),ISNUMBER(D369)),C369*D369,"")</f>
        <v/>
      </c>
      <c r="L369" s="14">
        <f>IF(K369="","",IF(K369&gt;=15,"High",IF(K369&gt;=8,"Medium","Low")))</f>
        <v/>
      </c>
    </row>
    <row r="370">
      <c r="K370" s="15">
        <f>IF(AND(ISNUMBER(C370),ISNUMBER(D370)),C370*D370,"")</f>
        <v/>
      </c>
      <c r="L370" s="14">
        <f>IF(K370="","",IF(K370&gt;=15,"High",IF(K370&gt;=8,"Medium","Low")))</f>
        <v/>
      </c>
    </row>
    <row r="371">
      <c r="K371" s="15">
        <f>IF(AND(ISNUMBER(C371),ISNUMBER(D371)),C371*D371,"")</f>
        <v/>
      </c>
      <c r="L371" s="14">
        <f>IF(K371="","",IF(K371&gt;=15,"High",IF(K371&gt;=8,"Medium","Low")))</f>
        <v/>
      </c>
    </row>
    <row r="372">
      <c r="K372" s="15">
        <f>IF(AND(ISNUMBER(C372),ISNUMBER(D372)),C372*D372,"")</f>
        <v/>
      </c>
      <c r="L372" s="14">
        <f>IF(K372="","",IF(K372&gt;=15,"High",IF(K372&gt;=8,"Medium","Low")))</f>
        <v/>
      </c>
    </row>
    <row r="373">
      <c r="K373" s="15">
        <f>IF(AND(ISNUMBER(C373),ISNUMBER(D373)),C373*D373,"")</f>
        <v/>
      </c>
      <c r="L373" s="14">
        <f>IF(K373="","",IF(K373&gt;=15,"High",IF(K373&gt;=8,"Medium","Low")))</f>
        <v/>
      </c>
    </row>
    <row r="374">
      <c r="K374" s="15">
        <f>IF(AND(ISNUMBER(C374),ISNUMBER(D374)),C374*D374,"")</f>
        <v/>
      </c>
      <c r="L374" s="14">
        <f>IF(K374="","",IF(K374&gt;=15,"High",IF(K374&gt;=8,"Medium","Low")))</f>
        <v/>
      </c>
    </row>
    <row r="375">
      <c r="K375" s="15">
        <f>IF(AND(ISNUMBER(C375),ISNUMBER(D375)),C375*D375,"")</f>
        <v/>
      </c>
      <c r="L375" s="14">
        <f>IF(K375="","",IF(K375&gt;=15,"High",IF(K375&gt;=8,"Medium","Low")))</f>
        <v/>
      </c>
    </row>
    <row r="376">
      <c r="K376" s="15">
        <f>IF(AND(ISNUMBER(C376),ISNUMBER(D376)),C376*D376,"")</f>
        <v/>
      </c>
      <c r="L376" s="14">
        <f>IF(K376="","",IF(K376&gt;=15,"High",IF(K376&gt;=8,"Medium","Low")))</f>
        <v/>
      </c>
    </row>
    <row r="377">
      <c r="K377" s="15">
        <f>IF(AND(ISNUMBER(C377),ISNUMBER(D377)),C377*D377,"")</f>
        <v/>
      </c>
      <c r="L377" s="14">
        <f>IF(K377="","",IF(K377&gt;=15,"High",IF(K377&gt;=8,"Medium","Low")))</f>
        <v/>
      </c>
    </row>
    <row r="378">
      <c r="K378" s="15">
        <f>IF(AND(ISNUMBER(C378),ISNUMBER(D378)),C378*D378,"")</f>
        <v/>
      </c>
      <c r="L378" s="14">
        <f>IF(K378="","",IF(K378&gt;=15,"High",IF(K378&gt;=8,"Medium","Low")))</f>
        <v/>
      </c>
    </row>
    <row r="379">
      <c r="K379" s="15">
        <f>IF(AND(ISNUMBER(C379),ISNUMBER(D379)),C379*D379,"")</f>
        <v/>
      </c>
      <c r="L379" s="14">
        <f>IF(K379="","",IF(K379&gt;=15,"High",IF(K379&gt;=8,"Medium","Low")))</f>
        <v/>
      </c>
    </row>
    <row r="380">
      <c r="K380" s="15">
        <f>IF(AND(ISNUMBER(C380),ISNUMBER(D380)),C380*D380,"")</f>
        <v/>
      </c>
      <c r="L380" s="14">
        <f>IF(K380="","",IF(K380&gt;=15,"High",IF(K380&gt;=8,"Medium","Low")))</f>
        <v/>
      </c>
    </row>
    <row r="381">
      <c r="K381" s="15">
        <f>IF(AND(ISNUMBER(C381),ISNUMBER(D381)),C381*D381,"")</f>
        <v/>
      </c>
      <c r="L381" s="14">
        <f>IF(K381="","",IF(K381&gt;=15,"High",IF(K381&gt;=8,"Medium","Low")))</f>
        <v/>
      </c>
    </row>
    <row r="382">
      <c r="K382" s="15">
        <f>IF(AND(ISNUMBER(C382),ISNUMBER(D382)),C382*D382,"")</f>
        <v/>
      </c>
      <c r="L382" s="14">
        <f>IF(K382="","",IF(K382&gt;=15,"High",IF(K382&gt;=8,"Medium","Low")))</f>
        <v/>
      </c>
    </row>
    <row r="383">
      <c r="K383" s="15">
        <f>IF(AND(ISNUMBER(C383),ISNUMBER(D383)),C383*D383,"")</f>
        <v/>
      </c>
      <c r="L383" s="14">
        <f>IF(K383="","",IF(K383&gt;=15,"High",IF(K383&gt;=8,"Medium","Low")))</f>
        <v/>
      </c>
    </row>
    <row r="384">
      <c r="K384" s="15">
        <f>IF(AND(ISNUMBER(C384),ISNUMBER(D384)),C384*D384,"")</f>
        <v/>
      </c>
      <c r="L384" s="14">
        <f>IF(K384="","",IF(K384&gt;=15,"High",IF(K384&gt;=8,"Medium","Low")))</f>
        <v/>
      </c>
    </row>
    <row r="385">
      <c r="K385" s="15">
        <f>IF(AND(ISNUMBER(C385),ISNUMBER(D385)),C385*D385,"")</f>
        <v/>
      </c>
      <c r="L385" s="14">
        <f>IF(K385="","",IF(K385&gt;=15,"High",IF(K385&gt;=8,"Medium","Low")))</f>
        <v/>
      </c>
    </row>
    <row r="386">
      <c r="K386" s="15">
        <f>IF(AND(ISNUMBER(C386),ISNUMBER(D386)),C386*D386,"")</f>
        <v/>
      </c>
      <c r="L386" s="14">
        <f>IF(K386="","",IF(K386&gt;=15,"High",IF(K386&gt;=8,"Medium","Low")))</f>
        <v/>
      </c>
    </row>
    <row r="387">
      <c r="K387" s="15">
        <f>IF(AND(ISNUMBER(C387),ISNUMBER(D387)),C387*D387,"")</f>
        <v/>
      </c>
      <c r="L387" s="14">
        <f>IF(K387="","",IF(K387&gt;=15,"High",IF(K387&gt;=8,"Medium","Low")))</f>
        <v/>
      </c>
    </row>
    <row r="388">
      <c r="K388" s="15">
        <f>IF(AND(ISNUMBER(C388),ISNUMBER(D388)),C388*D388,"")</f>
        <v/>
      </c>
      <c r="L388" s="14">
        <f>IF(K388="","",IF(K388&gt;=15,"High",IF(K388&gt;=8,"Medium","Low")))</f>
        <v/>
      </c>
    </row>
    <row r="389">
      <c r="K389" s="15">
        <f>IF(AND(ISNUMBER(C389),ISNUMBER(D389)),C389*D389,"")</f>
        <v/>
      </c>
      <c r="L389" s="14">
        <f>IF(K389="","",IF(K389&gt;=15,"High",IF(K389&gt;=8,"Medium","Low")))</f>
        <v/>
      </c>
    </row>
    <row r="390">
      <c r="K390" s="15">
        <f>IF(AND(ISNUMBER(C390),ISNUMBER(D390)),C390*D390,"")</f>
        <v/>
      </c>
      <c r="L390" s="14">
        <f>IF(K390="","",IF(K390&gt;=15,"High",IF(K390&gt;=8,"Medium","Low")))</f>
        <v/>
      </c>
    </row>
    <row r="391">
      <c r="K391" s="15">
        <f>IF(AND(ISNUMBER(C391),ISNUMBER(D391)),C391*D391,"")</f>
        <v/>
      </c>
      <c r="L391" s="14">
        <f>IF(K391="","",IF(K391&gt;=15,"High",IF(K391&gt;=8,"Medium","Low")))</f>
        <v/>
      </c>
    </row>
    <row r="392">
      <c r="K392" s="15">
        <f>IF(AND(ISNUMBER(C392),ISNUMBER(D392)),C392*D392,"")</f>
        <v/>
      </c>
      <c r="L392" s="14">
        <f>IF(K392="","",IF(K392&gt;=15,"High",IF(K392&gt;=8,"Medium","Low")))</f>
        <v/>
      </c>
    </row>
    <row r="393">
      <c r="K393" s="15">
        <f>IF(AND(ISNUMBER(C393),ISNUMBER(D393)),C393*D393,"")</f>
        <v/>
      </c>
      <c r="L393" s="14">
        <f>IF(K393="","",IF(K393&gt;=15,"High",IF(K393&gt;=8,"Medium","Low")))</f>
        <v/>
      </c>
    </row>
    <row r="394">
      <c r="K394" s="15">
        <f>IF(AND(ISNUMBER(C394),ISNUMBER(D394)),C394*D394,"")</f>
        <v/>
      </c>
      <c r="L394" s="14">
        <f>IF(K394="","",IF(K394&gt;=15,"High",IF(K394&gt;=8,"Medium","Low")))</f>
        <v/>
      </c>
    </row>
    <row r="395">
      <c r="K395" s="15">
        <f>IF(AND(ISNUMBER(C395),ISNUMBER(D395)),C395*D395,"")</f>
        <v/>
      </c>
      <c r="L395" s="14">
        <f>IF(K395="","",IF(K395&gt;=15,"High",IF(K395&gt;=8,"Medium","Low")))</f>
        <v/>
      </c>
    </row>
    <row r="396">
      <c r="K396" s="15">
        <f>IF(AND(ISNUMBER(C396),ISNUMBER(D396)),C396*D396,"")</f>
        <v/>
      </c>
      <c r="L396" s="14">
        <f>IF(K396="","",IF(K396&gt;=15,"High",IF(K396&gt;=8,"Medium","Low")))</f>
        <v/>
      </c>
    </row>
    <row r="397">
      <c r="K397" s="15">
        <f>IF(AND(ISNUMBER(C397),ISNUMBER(D397)),C397*D397,"")</f>
        <v/>
      </c>
      <c r="L397" s="14">
        <f>IF(K397="","",IF(K397&gt;=15,"High",IF(K397&gt;=8,"Medium","Low")))</f>
        <v/>
      </c>
    </row>
    <row r="398">
      <c r="K398" s="15">
        <f>IF(AND(ISNUMBER(C398),ISNUMBER(D398)),C398*D398,"")</f>
        <v/>
      </c>
      <c r="L398" s="14">
        <f>IF(K398="","",IF(K398&gt;=15,"High",IF(K398&gt;=8,"Medium","Low")))</f>
        <v/>
      </c>
    </row>
    <row r="399">
      <c r="K399" s="15">
        <f>IF(AND(ISNUMBER(C399),ISNUMBER(D399)),C399*D399,"")</f>
        <v/>
      </c>
      <c r="L399" s="14">
        <f>IF(K399="","",IF(K399&gt;=15,"High",IF(K399&gt;=8,"Medium","Low")))</f>
        <v/>
      </c>
    </row>
    <row r="400">
      <c r="K400" s="15">
        <f>IF(AND(ISNUMBER(C400),ISNUMBER(D400)),C400*D400,"")</f>
        <v/>
      </c>
      <c r="L400" s="14">
        <f>IF(K400="","",IF(K400&gt;=15,"High",IF(K400&gt;=8,"Medium","Low")))</f>
        <v/>
      </c>
    </row>
    <row r="401">
      <c r="K401" s="15">
        <f>IF(AND(ISNUMBER(C401),ISNUMBER(D401)),C401*D401,"")</f>
        <v/>
      </c>
      <c r="L401" s="14">
        <f>IF(K401="","",IF(K401&gt;=15,"High",IF(K401&gt;=8,"Medium","Low")))</f>
        <v/>
      </c>
    </row>
    <row r="402">
      <c r="K402" s="15">
        <f>IF(AND(ISNUMBER(C402),ISNUMBER(D402)),C402*D402,"")</f>
        <v/>
      </c>
      <c r="L402" s="14">
        <f>IF(K402="","",IF(K402&gt;=15,"High",IF(K402&gt;=8,"Medium","Low")))</f>
        <v/>
      </c>
    </row>
    <row r="403">
      <c r="K403" s="15">
        <f>IF(AND(ISNUMBER(C403),ISNUMBER(D403)),C403*D403,"")</f>
        <v/>
      </c>
      <c r="L403" s="14">
        <f>IF(K403="","",IF(K403&gt;=15,"High",IF(K403&gt;=8,"Medium","Low")))</f>
        <v/>
      </c>
    </row>
    <row r="404">
      <c r="K404" s="15">
        <f>IF(AND(ISNUMBER(C404),ISNUMBER(D404)),C404*D404,"")</f>
        <v/>
      </c>
      <c r="L404" s="14">
        <f>IF(K404="","",IF(K404&gt;=15,"High",IF(K404&gt;=8,"Medium","Low")))</f>
        <v/>
      </c>
    </row>
    <row r="405">
      <c r="K405" s="15">
        <f>IF(AND(ISNUMBER(C405),ISNUMBER(D405)),C405*D405,"")</f>
        <v/>
      </c>
      <c r="L405" s="14">
        <f>IF(K405="","",IF(K405&gt;=15,"High",IF(K405&gt;=8,"Medium","Low")))</f>
        <v/>
      </c>
    </row>
    <row r="406">
      <c r="K406" s="15">
        <f>IF(AND(ISNUMBER(C406),ISNUMBER(D406)),C406*D406,"")</f>
        <v/>
      </c>
      <c r="L406" s="14">
        <f>IF(K406="","",IF(K406&gt;=15,"High",IF(K406&gt;=8,"Medium","Low")))</f>
        <v/>
      </c>
    </row>
    <row r="407">
      <c r="K407" s="15">
        <f>IF(AND(ISNUMBER(C407),ISNUMBER(D407)),C407*D407,"")</f>
        <v/>
      </c>
      <c r="L407" s="14">
        <f>IF(K407="","",IF(K407&gt;=15,"High",IF(K407&gt;=8,"Medium","Low")))</f>
        <v/>
      </c>
    </row>
    <row r="408">
      <c r="K408" s="15">
        <f>IF(AND(ISNUMBER(C408),ISNUMBER(D408)),C408*D408,"")</f>
        <v/>
      </c>
      <c r="L408" s="14">
        <f>IF(K408="","",IF(K408&gt;=15,"High",IF(K408&gt;=8,"Medium","Low")))</f>
        <v/>
      </c>
    </row>
    <row r="409">
      <c r="K409" s="15">
        <f>IF(AND(ISNUMBER(C409),ISNUMBER(D409)),C409*D409,"")</f>
        <v/>
      </c>
      <c r="L409" s="14">
        <f>IF(K409="","",IF(K409&gt;=15,"High",IF(K409&gt;=8,"Medium","Low")))</f>
        <v/>
      </c>
    </row>
    <row r="410">
      <c r="K410" s="15">
        <f>IF(AND(ISNUMBER(C410),ISNUMBER(D410)),C410*D410,"")</f>
        <v/>
      </c>
      <c r="L410" s="14">
        <f>IF(K410="","",IF(K410&gt;=15,"High",IF(K410&gt;=8,"Medium","Low")))</f>
        <v/>
      </c>
    </row>
    <row r="411">
      <c r="K411" s="15">
        <f>IF(AND(ISNUMBER(C411),ISNUMBER(D411)),C411*D411,"")</f>
        <v/>
      </c>
      <c r="L411" s="14">
        <f>IF(K411="","",IF(K411&gt;=15,"High",IF(K411&gt;=8,"Medium","Low")))</f>
        <v/>
      </c>
    </row>
    <row r="412">
      <c r="K412" s="15">
        <f>IF(AND(ISNUMBER(C412),ISNUMBER(D412)),C412*D412,"")</f>
        <v/>
      </c>
      <c r="L412" s="14">
        <f>IF(K412="","",IF(K412&gt;=15,"High",IF(K412&gt;=8,"Medium","Low")))</f>
        <v/>
      </c>
    </row>
    <row r="413">
      <c r="K413" s="15">
        <f>IF(AND(ISNUMBER(C413),ISNUMBER(D413)),C413*D413,"")</f>
        <v/>
      </c>
      <c r="L413" s="14">
        <f>IF(K413="","",IF(K413&gt;=15,"High",IF(K413&gt;=8,"Medium","Low")))</f>
        <v/>
      </c>
    </row>
    <row r="414">
      <c r="K414" s="15">
        <f>IF(AND(ISNUMBER(C414),ISNUMBER(D414)),C414*D414,"")</f>
        <v/>
      </c>
      <c r="L414" s="14">
        <f>IF(K414="","",IF(K414&gt;=15,"High",IF(K414&gt;=8,"Medium","Low")))</f>
        <v/>
      </c>
    </row>
    <row r="415">
      <c r="K415" s="15">
        <f>IF(AND(ISNUMBER(C415),ISNUMBER(D415)),C415*D415,"")</f>
        <v/>
      </c>
      <c r="L415" s="14">
        <f>IF(K415="","",IF(K415&gt;=15,"High",IF(K415&gt;=8,"Medium","Low")))</f>
        <v/>
      </c>
    </row>
    <row r="416">
      <c r="K416" s="15">
        <f>IF(AND(ISNUMBER(C416),ISNUMBER(D416)),C416*D416,"")</f>
        <v/>
      </c>
      <c r="L416" s="14">
        <f>IF(K416="","",IF(K416&gt;=15,"High",IF(K416&gt;=8,"Medium","Low")))</f>
        <v/>
      </c>
    </row>
    <row r="417">
      <c r="K417" s="15">
        <f>IF(AND(ISNUMBER(C417),ISNUMBER(D417)),C417*D417,"")</f>
        <v/>
      </c>
      <c r="L417" s="14">
        <f>IF(K417="","",IF(K417&gt;=15,"High",IF(K417&gt;=8,"Medium","Low")))</f>
        <v/>
      </c>
    </row>
    <row r="418">
      <c r="K418" s="15">
        <f>IF(AND(ISNUMBER(C418),ISNUMBER(D418)),C418*D418,"")</f>
        <v/>
      </c>
      <c r="L418" s="14">
        <f>IF(K418="","",IF(K418&gt;=15,"High",IF(K418&gt;=8,"Medium","Low")))</f>
        <v/>
      </c>
    </row>
    <row r="419">
      <c r="K419" s="15">
        <f>IF(AND(ISNUMBER(C419),ISNUMBER(D419)),C419*D419,"")</f>
        <v/>
      </c>
      <c r="L419" s="14">
        <f>IF(K419="","",IF(K419&gt;=15,"High",IF(K419&gt;=8,"Medium","Low")))</f>
        <v/>
      </c>
    </row>
    <row r="420">
      <c r="K420" s="15">
        <f>IF(AND(ISNUMBER(C420),ISNUMBER(D420)),C420*D420,"")</f>
        <v/>
      </c>
      <c r="L420" s="14">
        <f>IF(K420="","",IF(K420&gt;=15,"High",IF(K420&gt;=8,"Medium","Low")))</f>
        <v/>
      </c>
    </row>
    <row r="421">
      <c r="K421" s="15">
        <f>IF(AND(ISNUMBER(C421),ISNUMBER(D421)),C421*D421,"")</f>
        <v/>
      </c>
      <c r="L421" s="14">
        <f>IF(K421="","",IF(K421&gt;=15,"High",IF(K421&gt;=8,"Medium","Low")))</f>
        <v/>
      </c>
    </row>
    <row r="422">
      <c r="K422" s="15">
        <f>IF(AND(ISNUMBER(C422),ISNUMBER(D422)),C422*D422,"")</f>
        <v/>
      </c>
      <c r="L422" s="14">
        <f>IF(K422="","",IF(K422&gt;=15,"High",IF(K422&gt;=8,"Medium","Low")))</f>
        <v/>
      </c>
    </row>
    <row r="423">
      <c r="K423" s="15">
        <f>IF(AND(ISNUMBER(C423),ISNUMBER(D423)),C423*D423,"")</f>
        <v/>
      </c>
      <c r="L423" s="14">
        <f>IF(K423="","",IF(K423&gt;=15,"High",IF(K423&gt;=8,"Medium","Low")))</f>
        <v/>
      </c>
    </row>
    <row r="424">
      <c r="K424" s="15">
        <f>IF(AND(ISNUMBER(C424),ISNUMBER(D424)),C424*D424,"")</f>
        <v/>
      </c>
      <c r="L424" s="14">
        <f>IF(K424="","",IF(K424&gt;=15,"High",IF(K424&gt;=8,"Medium","Low")))</f>
        <v/>
      </c>
    </row>
    <row r="425">
      <c r="K425" s="15">
        <f>IF(AND(ISNUMBER(C425),ISNUMBER(D425)),C425*D425,"")</f>
        <v/>
      </c>
      <c r="L425" s="14">
        <f>IF(K425="","",IF(K425&gt;=15,"High",IF(K425&gt;=8,"Medium","Low")))</f>
        <v/>
      </c>
    </row>
    <row r="426">
      <c r="K426" s="15">
        <f>IF(AND(ISNUMBER(C426),ISNUMBER(D426)),C426*D426,"")</f>
        <v/>
      </c>
      <c r="L426" s="14">
        <f>IF(K426="","",IF(K426&gt;=15,"High",IF(K426&gt;=8,"Medium","Low")))</f>
        <v/>
      </c>
    </row>
    <row r="427">
      <c r="K427" s="15">
        <f>IF(AND(ISNUMBER(C427),ISNUMBER(D427)),C427*D427,"")</f>
        <v/>
      </c>
      <c r="L427" s="14">
        <f>IF(K427="","",IF(K427&gt;=15,"High",IF(K427&gt;=8,"Medium","Low")))</f>
        <v/>
      </c>
    </row>
    <row r="428">
      <c r="K428" s="15">
        <f>IF(AND(ISNUMBER(C428),ISNUMBER(D428)),C428*D428,"")</f>
        <v/>
      </c>
      <c r="L428" s="14">
        <f>IF(K428="","",IF(K428&gt;=15,"High",IF(K428&gt;=8,"Medium","Low")))</f>
        <v/>
      </c>
    </row>
    <row r="429">
      <c r="K429" s="15">
        <f>IF(AND(ISNUMBER(C429),ISNUMBER(D429)),C429*D429,"")</f>
        <v/>
      </c>
      <c r="L429" s="14">
        <f>IF(K429="","",IF(K429&gt;=15,"High",IF(K429&gt;=8,"Medium","Low")))</f>
        <v/>
      </c>
    </row>
    <row r="430">
      <c r="K430" s="15">
        <f>IF(AND(ISNUMBER(C430),ISNUMBER(D430)),C430*D430,"")</f>
        <v/>
      </c>
      <c r="L430" s="14">
        <f>IF(K430="","",IF(K430&gt;=15,"High",IF(K430&gt;=8,"Medium","Low")))</f>
        <v/>
      </c>
    </row>
    <row r="431">
      <c r="K431" s="15">
        <f>IF(AND(ISNUMBER(C431),ISNUMBER(D431)),C431*D431,"")</f>
        <v/>
      </c>
      <c r="L431" s="14">
        <f>IF(K431="","",IF(K431&gt;=15,"High",IF(K431&gt;=8,"Medium","Low")))</f>
        <v/>
      </c>
    </row>
    <row r="432">
      <c r="K432" s="15">
        <f>IF(AND(ISNUMBER(C432),ISNUMBER(D432)),C432*D432,"")</f>
        <v/>
      </c>
      <c r="L432" s="14">
        <f>IF(K432="","",IF(K432&gt;=15,"High",IF(K432&gt;=8,"Medium","Low")))</f>
        <v/>
      </c>
    </row>
    <row r="433">
      <c r="K433" s="15">
        <f>IF(AND(ISNUMBER(C433),ISNUMBER(D433)),C433*D433,"")</f>
        <v/>
      </c>
      <c r="L433" s="14">
        <f>IF(K433="","",IF(K433&gt;=15,"High",IF(K433&gt;=8,"Medium","Low")))</f>
        <v/>
      </c>
    </row>
    <row r="434">
      <c r="K434" s="15">
        <f>IF(AND(ISNUMBER(C434),ISNUMBER(D434)),C434*D434,"")</f>
        <v/>
      </c>
      <c r="L434" s="14">
        <f>IF(K434="","",IF(K434&gt;=15,"High",IF(K434&gt;=8,"Medium","Low")))</f>
        <v/>
      </c>
    </row>
    <row r="435">
      <c r="K435" s="15">
        <f>IF(AND(ISNUMBER(C435),ISNUMBER(D435)),C435*D435,"")</f>
        <v/>
      </c>
      <c r="L435" s="14">
        <f>IF(K435="","",IF(K435&gt;=15,"High",IF(K435&gt;=8,"Medium","Low")))</f>
        <v/>
      </c>
    </row>
    <row r="436">
      <c r="K436" s="15">
        <f>IF(AND(ISNUMBER(C436),ISNUMBER(D436)),C436*D436,"")</f>
        <v/>
      </c>
      <c r="L436" s="14">
        <f>IF(K436="","",IF(K436&gt;=15,"High",IF(K436&gt;=8,"Medium","Low")))</f>
        <v/>
      </c>
    </row>
    <row r="437">
      <c r="K437" s="15">
        <f>IF(AND(ISNUMBER(C437),ISNUMBER(D437)),C437*D437,"")</f>
        <v/>
      </c>
      <c r="L437" s="14">
        <f>IF(K437="","",IF(K437&gt;=15,"High",IF(K437&gt;=8,"Medium","Low")))</f>
        <v/>
      </c>
    </row>
    <row r="438">
      <c r="K438" s="15">
        <f>IF(AND(ISNUMBER(C438),ISNUMBER(D438)),C438*D438,"")</f>
        <v/>
      </c>
      <c r="L438" s="14">
        <f>IF(K438="","",IF(K438&gt;=15,"High",IF(K438&gt;=8,"Medium","Low")))</f>
        <v/>
      </c>
    </row>
    <row r="439">
      <c r="K439" s="15">
        <f>IF(AND(ISNUMBER(C439),ISNUMBER(D439)),C439*D439,"")</f>
        <v/>
      </c>
      <c r="L439" s="14">
        <f>IF(K439="","",IF(K439&gt;=15,"High",IF(K439&gt;=8,"Medium","Low")))</f>
        <v/>
      </c>
    </row>
    <row r="440">
      <c r="K440" s="15">
        <f>IF(AND(ISNUMBER(C440),ISNUMBER(D440)),C440*D440,"")</f>
        <v/>
      </c>
      <c r="L440" s="14">
        <f>IF(K440="","",IF(K440&gt;=15,"High",IF(K440&gt;=8,"Medium","Low")))</f>
        <v/>
      </c>
    </row>
    <row r="441">
      <c r="K441" s="15">
        <f>IF(AND(ISNUMBER(C441),ISNUMBER(D441)),C441*D441,"")</f>
        <v/>
      </c>
      <c r="L441" s="14">
        <f>IF(K441="","",IF(K441&gt;=15,"High",IF(K441&gt;=8,"Medium","Low")))</f>
        <v/>
      </c>
    </row>
    <row r="442">
      <c r="K442" s="15">
        <f>IF(AND(ISNUMBER(C442),ISNUMBER(D442)),C442*D442,"")</f>
        <v/>
      </c>
      <c r="L442" s="14">
        <f>IF(K442="","",IF(K442&gt;=15,"High",IF(K442&gt;=8,"Medium","Low")))</f>
        <v/>
      </c>
    </row>
    <row r="443">
      <c r="K443" s="15">
        <f>IF(AND(ISNUMBER(C443),ISNUMBER(D443)),C443*D443,"")</f>
        <v/>
      </c>
      <c r="L443" s="14">
        <f>IF(K443="","",IF(K443&gt;=15,"High",IF(K443&gt;=8,"Medium","Low")))</f>
        <v/>
      </c>
    </row>
    <row r="444">
      <c r="K444" s="15">
        <f>IF(AND(ISNUMBER(C444),ISNUMBER(D444)),C444*D444,"")</f>
        <v/>
      </c>
      <c r="L444" s="14">
        <f>IF(K444="","",IF(K444&gt;=15,"High",IF(K444&gt;=8,"Medium","Low")))</f>
        <v/>
      </c>
    </row>
    <row r="445">
      <c r="K445" s="15">
        <f>IF(AND(ISNUMBER(C445),ISNUMBER(D445)),C445*D445,"")</f>
        <v/>
      </c>
      <c r="L445" s="14">
        <f>IF(K445="","",IF(K445&gt;=15,"High",IF(K445&gt;=8,"Medium","Low")))</f>
        <v/>
      </c>
    </row>
    <row r="446">
      <c r="K446" s="15">
        <f>IF(AND(ISNUMBER(C446),ISNUMBER(D446)),C446*D446,"")</f>
        <v/>
      </c>
      <c r="L446" s="14">
        <f>IF(K446="","",IF(K446&gt;=15,"High",IF(K446&gt;=8,"Medium","Low")))</f>
        <v/>
      </c>
    </row>
    <row r="447">
      <c r="K447" s="15">
        <f>IF(AND(ISNUMBER(C447),ISNUMBER(D447)),C447*D447,"")</f>
        <v/>
      </c>
      <c r="L447" s="14">
        <f>IF(K447="","",IF(K447&gt;=15,"High",IF(K447&gt;=8,"Medium","Low")))</f>
        <v/>
      </c>
    </row>
    <row r="448">
      <c r="K448" s="15">
        <f>IF(AND(ISNUMBER(C448),ISNUMBER(D448)),C448*D448,"")</f>
        <v/>
      </c>
      <c r="L448" s="14">
        <f>IF(K448="","",IF(K448&gt;=15,"High",IF(K448&gt;=8,"Medium","Low")))</f>
        <v/>
      </c>
    </row>
    <row r="449">
      <c r="K449" s="15">
        <f>IF(AND(ISNUMBER(C449),ISNUMBER(D449)),C449*D449,"")</f>
        <v/>
      </c>
      <c r="L449" s="14">
        <f>IF(K449="","",IF(K449&gt;=15,"High",IF(K449&gt;=8,"Medium","Low")))</f>
        <v/>
      </c>
    </row>
    <row r="450">
      <c r="K450" s="15">
        <f>IF(AND(ISNUMBER(C450),ISNUMBER(D450)),C450*D450,"")</f>
        <v/>
      </c>
      <c r="L450" s="14">
        <f>IF(K450="","",IF(K450&gt;=15,"High",IF(K450&gt;=8,"Medium","Low")))</f>
        <v/>
      </c>
    </row>
    <row r="451">
      <c r="K451" s="15">
        <f>IF(AND(ISNUMBER(C451),ISNUMBER(D451)),C451*D451,"")</f>
        <v/>
      </c>
      <c r="L451" s="14">
        <f>IF(K451="","",IF(K451&gt;=15,"High",IF(K451&gt;=8,"Medium","Low")))</f>
        <v/>
      </c>
    </row>
    <row r="452">
      <c r="K452" s="15">
        <f>IF(AND(ISNUMBER(C452),ISNUMBER(D452)),C452*D452,"")</f>
        <v/>
      </c>
      <c r="L452" s="14">
        <f>IF(K452="","",IF(K452&gt;=15,"High",IF(K452&gt;=8,"Medium","Low")))</f>
        <v/>
      </c>
    </row>
    <row r="453">
      <c r="K453" s="15">
        <f>IF(AND(ISNUMBER(C453),ISNUMBER(D453)),C453*D453,"")</f>
        <v/>
      </c>
      <c r="L453" s="14">
        <f>IF(K453="","",IF(K453&gt;=15,"High",IF(K453&gt;=8,"Medium","Low")))</f>
        <v/>
      </c>
    </row>
    <row r="454">
      <c r="K454" s="15">
        <f>IF(AND(ISNUMBER(C454),ISNUMBER(D454)),C454*D454,"")</f>
        <v/>
      </c>
      <c r="L454" s="14">
        <f>IF(K454="","",IF(K454&gt;=15,"High",IF(K454&gt;=8,"Medium","Low")))</f>
        <v/>
      </c>
    </row>
    <row r="455">
      <c r="K455" s="15">
        <f>IF(AND(ISNUMBER(C455),ISNUMBER(D455)),C455*D455,"")</f>
        <v/>
      </c>
      <c r="L455" s="14">
        <f>IF(K455="","",IF(K455&gt;=15,"High",IF(K455&gt;=8,"Medium","Low")))</f>
        <v/>
      </c>
    </row>
    <row r="456">
      <c r="K456" s="15">
        <f>IF(AND(ISNUMBER(C456),ISNUMBER(D456)),C456*D456,"")</f>
        <v/>
      </c>
      <c r="L456" s="14">
        <f>IF(K456="","",IF(K456&gt;=15,"High",IF(K456&gt;=8,"Medium","Low")))</f>
        <v/>
      </c>
    </row>
    <row r="457">
      <c r="K457" s="15">
        <f>IF(AND(ISNUMBER(C457),ISNUMBER(D457)),C457*D457,"")</f>
        <v/>
      </c>
      <c r="L457" s="14">
        <f>IF(K457="","",IF(K457&gt;=15,"High",IF(K457&gt;=8,"Medium","Low")))</f>
        <v/>
      </c>
    </row>
    <row r="458">
      <c r="K458" s="15">
        <f>IF(AND(ISNUMBER(C458),ISNUMBER(D458)),C458*D458,"")</f>
        <v/>
      </c>
      <c r="L458" s="14">
        <f>IF(K458="","",IF(K458&gt;=15,"High",IF(K458&gt;=8,"Medium","Low")))</f>
        <v/>
      </c>
    </row>
    <row r="459">
      <c r="K459" s="15">
        <f>IF(AND(ISNUMBER(C459),ISNUMBER(D459)),C459*D459,"")</f>
        <v/>
      </c>
      <c r="L459" s="14">
        <f>IF(K459="","",IF(K459&gt;=15,"High",IF(K459&gt;=8,"Medium","Low")))</f>
        <v/>
      </c>
    </row>
    <row r="460">
      <c r="K460" s="15">
        <f>IF(AND(ISNUMBER(C460),ISNUMBER(D460)),C460*D460,"")</f>
        <v/>
      </c>
      <c r="L460" s="14">
        <f>IF(K460="","",IF(K460&gt;=15,"High",IF(K460&gt;=8,"Medium","Low")))</f>
        <v/>
      </c>
    </row>
    <row r="461">
      <c r="K461" s="15">
        <f>IF(AND(ISNUMBER(C461),ISNUMBER(D461)),C461*D461,"")</f>
        <v/>
      </c>
      <c r="L461" s="14">
        <f>IF(K461="","",IF(K461&gt;=15,"High",IF(K461&gt;=8,"Medium","Low")))</f>
        <v/>
      </c>
    </row>
    <row r="462">
      <c r="K462" s="15">
        <f>IF(AND(ISNUMBER(C462),ISNUMBER(D462)),C462*D462,"")</f>
        <v/>
      </c>
      <c r="L462" s="14">
        <f>IF(K462="","",IF(K462&gt;=15,"High",IF(K462&gt;=8,"Medium","Low")))</f>
        <v/>
      </c>
    </row>
    <row r="463">
      <c r="K463" s="15">
        <f>IF(AND(ISNUMBER(C463),ISNUMBER(D463)),C463*D463,"")</f>
        <v/>
      </c>
      <c r="L463" s="14">
        <f>IF(K463="","",IF(K463&gt;=15,"High",IF(K463&gt;=8,"Medium","Low")))</f>
        <v/>
      </c>
    </row>
    <row r="464">
      <c r="K464" s="15">
        <f>IF(AND(ISNUMBER(C464),ISNUMBER(D464)),C464*D464,"")</f>
        <v/>
      </c>
      <c r="L464" s="14">
        <f>IF(K464="","",IF(K464&gt;=15,"High",IF(K464&gt;=8,"Medium","Low")))</f>
        <v/>
      </c>
    </row>
    <row r="465">
      <c r="K465" s="15">
        <f>IF(AND(ISNUMBER(C465),ISNUMBER(D465)),C465*D465,"")</f>
        <v/>
      </c>
      <c r="L465" s="14">
        <f>IF(K465="","",IF(K465&gt;=15,"High",IF(K465&gt;=8,"Medium","Low")))</f>
        <v/>
      </c>
    </row>
    <row r="466">
      <c r="K466" s="15">
        <f>IF(AND(ISNUMBER(C466),ISNUMBER(D466)),C466*D466,"")</f>
        <v/>
      </c>
      <c r="L466" s="14">
        <f>IF(K466="","",IF(K466&gt;=15,"High",IF(K466&gt;=8,"Medium","Low")))</f>
        <v/>
      </c>
    </row>
    <row r="467">
      <c r="K467" s="15">
        <f>IF(AND(ISNUMBER(C467),ISNUMBER(D467)),C467*D467,"")</f>
        <v/>
      </c>
      <c r="L467" s="14">
        <f>IF(K467="","",IF(K467&gt;=15,"High",IF(K467&gt;=8,"Medium","Low")))</f>
        <v/>
      </c>
    </row>
    <row r="468">
      <c r="K468" s="15">
        <f>IF(AND(ISNUMBER(C468),ISNUMBER(D468)),C468*D468,"")</f>
        <v/>
      </c>
      <c r="L468" s="14">
        <f>IF(K468="","",IF(K468&gt;=15,"High",IF(K468&gt;=8,"Medium","Low")))</f>
        <v/>
      </c>
    </row>
    <row r="469">
      <c r="K469" s="15">
        <f>IF(AND(ISNUMBER(C469),ISNUMBER(D469)),C469*D469,"")</f>
        <v/>
      </c>
      <c r="L469" s="14">
        <f>IF(K469="","",IF(K469&gt;=15,"High",IF(K469&gt;=8,"Medium","Low")))</f>
        <v/>
      </c>
    </row>
    <row r="470">
      <c r="K470" s="15">
        <f>IF(AND(ISNUMBER(C470),ISNUMBER(D470)),C470*D470,"")</f>
        <v/>
      </c>
      <c r="L470" s="14">
        <f>IF(K470="","",IF(K470&gt;=15,"High",IF(K470&gt;=8,"Medium","Low")))</f>
        <v/>
      </c>
    </row>
    <row r="471">
      <c r="K471" s="15">
        <f>IF(AND(ISNUMBER(C471),ISNUMBER(D471)),C471*D471,"")</f>
        <v/>
      </c>
      <c r="L471" s="14">
        <f>IF(K471="","",IF(K471&gt;=15,"High",IF(K471&gt;=8,"Medium","Low")))</f>
        <v/>
      </c>
    </row>
    <row r="472">
      <c r="K472" s="15">
        <f>IF(AND(ISNUMBER(C472),ISNUMBER(D472)),C472*D472,"")</f>
        <v/>
      </c>
      <c r="L472" s="14">
        <f>IF(K472="","",IF(K472&gt;=15,"High",IF(K472&gt;=8,"Medium","Low")))</f>
        <v/>
      </c>
    </row>
    <row r="473">
      <c r="K473" s="15">
        <f>IF(AND(ISNUMBER(C473),ISNUMBER(D473)),C473*D473,"")</f>
        <v/>
      </c>
      <c r="L473" s="14">
        <f>IF(K473="","",IF(K473&gt;=15,"High",IF(K473&gt;=8,"Medium","Low")))</f>
        <v/>
      </c>
    </row>
    <row r="474">
      <c r="K474" s="15">
        <f>IF(AND(ISNUMBER(C474),ISNUMBER(D474)),C474*D474,"")</f>
        <v/>
      </c>
      <c r="L474" s="14">
        <f>IF(K474="","",IF(K474&gt;=15,"High",IF(K474&gt;=8,"Medium","Low")))</f>
        <v/>
      </c>
    </row>
    <row r="475">
      <c r="K475" s="15">
        <f>IF(AND(ISNUMBER(C475),ISNUMBER(D475)),C475*D475,"")</f>
        <v/>
      </c>
      <c r="L475" s="14">
        <f>IF(K475="","",IF(K475&gt;=15,"High",IF(K475&gt;=8,"Medium","Low")))</f>
        <v/>
      </c>
    </row>
    <row r="476">
      <c r="K476" s="15">
        <f>IF(AND(ISNUMBER(C476),ISNUMBER(D476)),C476*D476,"")</f>
        <v/>
      </c>
      <c r="L476" s="14">
        <f>IF(K476="","",IF(K476&gt;=15,"High",IF(K476&gt;=8,"Medium","Low")))</f>
        <v/>
      </c>
    </row>
    <row r="477">
      <c r="K477" s="15">
        <f>IF(AND(ISNUMBER(C477),ISNUMBER(D477)),C477*D477,"")</f>
        <v/>
      </c>
      <c r="L477" s="14">
        <f>IF(K477="","",IF(K477&gt;=15,"High",IF(K477&gt;=8,"Medium","Low")))</f>
        <v/>
      </c>
    </row>
    <row r="478">
      <c r="K478" s="15">
        <f>IF(AND(ISNUMBER(C478),ISNUMBER(D478)),C478*D478,"")</f>
        <v/>
      </c>
      <c r="L478" s="14">
        <f>IF(K478="","",IF(K478&gt;=15,"High",IF(K478&gt;=8,"Medium","Low")))</f>
        <v/>
      </c>
    </row>
    <row r="479">
      <c r="K479" s="15">
        <f>IF(AND(ISNUMBER(C479),ISNUMBER(D479)),C479*D479,"")</f>
        <v/>
      </c>
      <c r="L479" s="14">
        <f>IF(K479="","",IF(K479&gt;=15,"High",IF(K479&gt;=8,"Medium","Low")))</f>
        <v/>
      </c>
    </row>
    <row r="480">
      <c r="K480" s="15">
        <f>IF(AND(ISNUMBER(C480),ISNUMBER(D480)),C480*D480,"")</f>
        <v/>
      </c>
      <c r="L480" s="14">
        <f>IF(K480="","",IF(K480&gt;=15,"High",IF(K480&gt;=8,"Medium","Low")))</f>
        <v/>
      </c>
    </row>
    <row r="481">
      <c r="K481" s="15">
        <f>IF(AND(ISNUMBER(C481),ISNUMBER(D481)),C481*D481,"")</f>
        <v/>
      </c>
      <c r="L481" s="14">
        <f>IF(K481="","",IF(K481&gt;=15,"High",IF(K481&gt;=8,"Medium","Low")))</f>
        <v/>
      </c>
    </row>
    <row r="482">
      <c r="K482" s="15">
        <f>IF(AND(ISNUMBER(C482),ISNUMBER(D482)),C482*D482,"")</f>
        <v/>
      </c>
      <c r="L482" s="14">
        <f>IF(K482="","",IF(K482&gt;=15,"High",IF(K482&gt;=8,"Medium","Low")))</f>
        <v/>
      </c>
    </row>
    <row r="483">
      <c r="K483" s="15">
        <f>IF(AND(ISNUMBER(C483),ISNUMBER(D483)),C483*D483,"")</f>
        <v/>
      </c>
      <c r="L483" s="14">
        <f>IF(K483="","",IF(K483&gt;=15,"High",IF(K483&gt;=8,"Medium","Low")))</f>
        <v/>
      </c>
    </row>
    <row r="484">
      <c r="K484" s="15">
        <f>IF(AND(ISNUMBER(C484),ISNUMBER(D484)),C484*D484,"")</f>
        <v/>
      </c>
      <c r="L484" s="14">
        <f>IF(K484="","",IF(K484&gt;=15,"High",IF(K484&gt;=8,"Medium","Low")))</f>
        <v/>
      </c>
    </row>
    <row r="485">
      <c r="K485" s="15">
        <f>IF(AND(ISNUMBER(C485),ISNUMBER(D485)),C485*D485,"")</f>
        <v/>
      </c>
      <c r="L485" s="14">
        <f>IF(K485="","",IF(K485&gt;=15,"High",IF(K485&gt;=8,"Medium","Low")))</f>
        <v/>
      </c>
    </row>
    <row r="486">
      <c r="K486" s="15">
        <f>IF(AND(ISNUMBER(C486),ISNUMBER(D486)),C486*D486,"")</f>
        <v/>
      </c>
      <c r="L486" s="14">
        <f>IF(K486="","",IF(K486&gt;=15,"High",IF(K486&gt;=8,"Medium","Low")))</f>
        <v/>
      </c>
    </row>
    <row r="487">
      <c r="K487" s="15">
        <f>IF(AND(ISNUMBER(C487),ISNUMBER(D487)),C487*D487,"")</f>
        <v/>
      </c>
      <c r="L487" s="14">
        <f>IF(K487="","",IF(K487&gt;=15,"High",IF(K487&gt;=8,"Medium","Low")))</f>
        <v/>
      </c>
    </row>
    <row r="488">
      <c r="K488" s="15">
        <f>IF(AND(ISNUMBER(C488),ISNUMBER(D488)),C488*D488,"")</f>
        <v/>
      </c>
      <c r="L488" s="14">
        <f>IF(K488="","",IF(K488&gt;=15,"High",IF(K488&gt;=8,"Medium","Low")))</f>
        <v/>
      </c>
    </row>
    <row r="489">
      <c r="K489" s="15">
        <f>IF(AND(ISNUMBER(C489),ISNUMBER(D489)),C489*D489,"")</f>
        <v/>
      </c>
      <c r="L489" s="14">
        <f>IF(K489="","",IF(K489&gt;=15,"High",IF(K489&gt;=8,"Medium","Low")))</f>
        <v/>
      </c>
    </row>
    <row r="490">
      <c r="K490" s="15">
        <f>IF(AND(ISNUMBER(C490),ISNUMBER(D490)),C490*D490,"")</f>
        <v/>
      </c>
      <c r="L490" s="14">
        <f>IF(K490="","",IF(K490&gt;=15,"High",IF(K490&gt;=8,"Medium","Low")))</f>
        <v/>
      </c>
    </row>
    <row r="491">
      <c r="K491" s="15">
        <f>IF(AND(ISNUMBER(C491),ISNUMBER(D491)),C491*D491,"")</f>
        <v/>
      </c>
      <c r="L491" s="14">
        <f>IF(K491="","",IF(K491&gt;=15,"High",IF(K491&gt;=8,"Medium","Low")))</f>
        <v/>
      </c>
    </row>
    <row r="492">
      <c r="K492" s="15">
        <f>IF(AND(ISNUMBER(C492),ISNUMBER(D492)),C492*D492,"")</f>
        <v/>
      </c>
      <c r="L492" s="14">
        <f>IF(K492="","",IF(K492&gt;=15,"High",IF(K492&gt;=8,"Medium","Low")))</f>
        <v/>
      </c>
    </row>
    <row r="493">
      <c r="K493" s="15">
        <f>IF(AND(ISNUMBER(C493),ISNUMBER(D493)),C493*D493,"")</f>
        <v/>
      </c>
      <c r="L493" s="14">
        <f>IF(K493="","",IF(K493&gt;=15,"High",IF(K493&gt;=8,"Medium","Low")))</f>
        <v/>
      </c>
    </row>
    <row r="494">
      <c r="K494" s="15">
        <f>IF(AND(ISNUMBER(C494),ISNUMBER(D494)),C494*D494,"")</f>
        <v/>
      </c>
      <c r="L494" s="14">
        <f>IF(K494="","",IF(K494&gt;=15,"High",IF(K494&gt;=8,"Medium","Low")))</f>
        <v/>
      </c>
    </row>
    <row r="495">
      <c r="K495" s="15">
        <f>IF(AND(ISNUMBER(C495),ISNUMBER(D495)),C495*D495,"")</f>
        <v/>
      </c>
      <c r="L495" s="14">
        <f>IF(K495="","",IF(K495&gt;=15,"High",IF(K495&gt;=8,"Medium","Low")))</f>
        <v/>
      </c>
    </row>
    <row r="496">
      <c r="K496" s="15">
        <f>IF(AND(ISNUMBER(C496),ISNUMBER(D496)),C496*D496,"")</f>
        <v/>
      </c>
      <c r="L496" s="14">
        <f>IF(K496="","",IF(K496&gt;=15,"High",IF(K496&gt;=8,"Medium","Low")))</f>
        <v/>
      </c>
    </row>
    <row r="497">
      <c r="K497" s="15">
        <f>IF(AND(ISNUMBER(C497),ISNUMBER(D497)),C497*D497,"")</f>
        <v/>
      </c>
      <c r="L497" s="14">
        <f>IF(K497="","",IF(K497&gt;=15,"High",IF(K497&gt;=8,"Medium","Low")))</f>
        <v/>
      </c>
    </row>
    <row r="498">
      <c r="K498" s="15">
        <f>IF(AND(ISNUMBER(C498),ISNUMBER(D498)),C498*D498,"")</f>
        <v/>
      </c>
      <c r="L498" s="14">
        <f>IF(K498="","",IF(K498&gt;=15,"High",IF(K498&gt;=8,"Medium","Low")))</f>
        <v/>
      </c>
    </row>
    <row r="499">
      <c r="K499" s="15">
        <f>IF(AND(ISNUMBER(C499),ISNUMBER(D499)),C499*D499,"")</f>
        <v/>
      </c>
      <c r="L499" s="14">
        <f>IF(K499="","",IF(K499&gt;=15,"High",IF(K499&gt;=8,"Medium","Low")))</f>
        <v/>
      </c>
    </row>
    <row r="500">
      <c r="K500" s="15">
        <f>IF(AND(ISNUMBER(C500),ISNUMBER(D500)),C500*D500,"")</f>
        <v/>
      </c>
      <c r="L500" s="14">
        <f>IF(K500="","",IF(K500&gt;=15,"High",IF(K500&gt;=8,"Medium","Low")))</f>
        <v/>
      </c>
    </row>
  </sheetData>
  <autoFilter ref="A1:L14"/>
  <dataValidations count="6">
    <dataValidation sqref="C2:C2000" showDropDown="0" showInputMessage="0" showErrorMessage="1" allowBlank="1" errorTitle="Choose from the list" error="Pick a value from the dropdown." type="list">
      <formula1>"1,2,3,4,5"</formula1>
    </dataValidation>
    <dataValidation sqref="D2:D2000" showDropDown="0" showInputMessage="0" showErrorMessage="1" allowBlank="1" errorTitle="Choose from the list" error="Pick a value from the dropdown." type="list">
      <formula1>"1,2,3,4,5"</formula1>
    </dataValidation>
    <dataValidation sqref="E2:E2000" showDropDown="0" showInputMessage="0" showErrorMessage="1" allowBlank="1" errorTitle="Choose from the list" error="Pick a value from the dropdown." type="list">
      <formula1>"open,mitigating,closed"</formula1>
    </dataValidation>
    <dataValidation sqref="F2:F2000" showDropDown="0" showInputMessage="0" showErrorMessage="1" allowBlank="1" errorTitle="Choose from the list" error="Pick a value from the dropdown." type="list">
      <formula1>People!$A$2:$A$300</formula1>
    </dataValidation>
    <dataValidation sqref="G2:G2000" showDropDown="0" showInputMessage="0" showErrorMessage="1" allowBlank="1" errorTitle="Choose from the list" error="Pick a value from the dropdown." type="list">
      <formula1>'Focus areas'!$A$2:$A$200</formula1>
    </dataValidation>
    <dataValidation sqref="H2:H2000" showDropDown="0" showInputMessage="0" showErrorMessage="1" allowBlank="1" errorTitle="Choose from the list" error="Pick a value from the dropdown." type="list">
      <formula1>Initiatives!$A$2:$A$500</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50" customWidth="1" min="3" max="3"/>
    <col width="50" customWidth="1" min="4" max="4"/>
    <col width="26" customWidth="1" min="5" max="5"/>
    <col width="28" customWidth="1" min="6" max="6"/>
    <col width="30" customWidth="1" min="7" max="7"/>
  </cols>
  <sheetData>
    <row r="1" ht="30" customHeight="1">
      <c r="A1" s="5" t="inlineStr">
        <is>
          <t>Date</t>
        </is>
      </c>
      <c r="B1" s="5" t="inlineStr">
        <is>
          <t>Title</t>
        </is>
      </c>
      <c r="C1" s="5" t="inlineStr">
        <is>
          <t>Decision</t>
        </is>
      </c>
      <c r="D1" s="5" t="inlineStr">
        <is>
          <t>Why</t>
        </is>
      </c>
      <c r="E1" s="5" t="inlineStr">
        <is>
          <t>Made by</t>
        </is>
      </c>
      <c r="F1" s="5" t="inlineStr">
        <is>
          <t>Focus area</t>
        </is>
      </c>
      <c r="G1" s="5" t="inlineStr">
        <is>
          <t>Initiative</t>
        </is>
      </c>
    </row>
    <row r="2">
      <c r="A2" s="12" t="n">
        <v>46275</v>
      </c>
      <c r="B2" s="3" t="inlineStr">
        <is>
          <t>Extend champions sessions to regional offices</t>
        </is>
      </c>
      <c r="C2" s="3" t="inlineStr">
        <is>
          <t>Run champions sessions in four regional offices from October.</t>
        </is>
      </c>
      <c r="D2" s="3" t="inlineStr">
        <is>
          <t>Internal spend is well behind the timeline and demand from regional teams is high.</t>
        </is>
      </c>
      <c r="E2" s="10" t="inlineStr">
        <is>
          <t>Nadia Hassan (Global lead)</t>
        </is>
      </c>
      <c r="F2" s="10" t="inlineStr">
        <is>
          <t>Trainings</t>
        </is>
      </c>
      <c r="G2" s="10" t="inlineStr">
        <is>
          <t>Newsroom Champions (internal)</t>
        </is>
      </c>
    </row>
    <row r="3">
      <c r="A3" s="12" t="n">
        <v>46211</v>
      </c>
      <c r="B3" s="3" t="inlineStr">
        <is>
          <t>Report Q2 from a frozen snapshot</t>
        </is>
      </c>
      <c r="C3" s="3" t="inlineStr">
        <is>
          <t>Board and funder reports use the Q2 snapshot, not live figures.</t>
        </is>
      </c>
      <c r="D3" s="3" t="inlineStr">
        <is>
          <t>Figures shared with the board shouldn't change when late data arrives.</t>
        </is>
      </c>
      <c r="E3" s="10" t="inlineStr">
        <is>
          <t>Programme board</t>
        </is>
      </c>
      <c r="F3" s="10" t="inlineStr">
        <is>
          <t>Trainings</t>
        </is>
      </c>
      <c r="G3" s="10" t="n"/>
    </row>
    <row r="4">
      <c r="A4" s="12" t="n">
        <v>46193</v>
      </c>
      <c r="B4" s="3" t="inlineStr">
        <is>
          <t>Fund a memberships pilot</t>
        </is>
      </c>
      <c r="C4" s="3" t="inlineStr">
        <is>
          <t>Up to $8k of grant budget goes to five newsrooms piloting memberships.</t>
        </is>
      </c>
      <c r="D4" s="3" t="inlineStr">
        <is>
          <t>Memberships were the most common new revenue stream; a pilot tests whether support speeds it up.</t>
        </is>
      </c>
      <c r="E4" s="10" t="inlineStr">
        <is>
          <t>Nadia Hassan (Global lead)</t>
        </is>
      </c>
      <c r="F4" s="10" t="inlineStr">
        <is>
          <t>Trainings</t>
        </is>
      </c>
      <c r="G4" s="10" t="inlineStr">
        <is>
          <t>Newsroom Digital Skills Training</t>
        </is>
      </c>
    </row>
    <row r="5">
      <c r="A5" s="12" t="n">
        <v>46154</v>
      </c>
      <c r="B5" s="3" t="inlineStr">
        <is>
          <t>Move revenue training earlier in each cohort</t>
        </is>
      </c>
      <c r="C5" s="3" t="inlineStr">
        <is>
          <t>Revenue sessions move from week 6 to week 2.</t>
        </is>
      </c>
      <c r="D5" s="3" t="inlineStr">
        <is>
          <t>Early cohorts said they needed revenue ideas before planning audience work.</t>
        </is>
      </c>
      <c r="E5" s="10" t="inlineStr">
        <is>
          <t>Programme board</t>
        </is>
      </c>
      <c r="F5" s="10" t="inlineStr">
        <is>
          <t>Trainings</t>
        </is>
      </c>
      <c r="G5" s="10" t="inlineStr">
        <is>
          <t>Newsroom Digital Skills Training</t>
        </is>
      </c>
    </row>
    <row r="6">
      <c r="A6" s="12" t="n">
        <v>46178</v>
      </c>
      <c r="B6" s="3" t="inlineStr">
        <is>
          <t>Choose the summit city</t>
        </is>
      </c>
      <c r="C6" s="3" t="inlineStr">
        <is>
          <t>The summit will be held in Lisbon, with an online track.</t>
        </is>
      </c>
      <c r="D6" s="3" t="inlineStr">
        <is>
          <t>Best mix of cost, access for global attendees and a venue partner offering a discount.</t>
        </is>
      </c>
      <c r="E6" s="10" t="inlineStr">
        <is>
          <t>Programme board</t>
        </is>
      </c>
      <c r="F6" s="10" t="inlineStr">
        <is>
          <t>Events &amp; Convenings</t>
        </is>
      </c>
      <c r="G6" s="10" t="inlineStr">
        <is>
          <t>Global News Summit 2026</t>
        </is>
      </c>
    </row>
    <row r="7">
      <c r="A7" s="12" t="n">
        <v>46225</v>
      </c>
      <c r="B7" s="3" t="inlineStr">
        <is>
          <t>Publish research as briefs first</t>
        </is>
      </c>
      <c r="C7" s="3" t="inlineStr">
        <is>
          <t>Findings will be released as six short briefs before the full report.</t>
        </is>
      </c>
      <c r="D7" s="3" t="inlineStr">
        <is>
          <t>Policy and press interest is highest now; briefs keep the study in the news for longer.</t>
        </is>
      </c>
      <c r="E7" s="10" t="inlineStr">
        <is>
          <t>Tom Reeves</t>
        </is>
      </c>
      <c r="F7" s="10" t="inlineStr">
        <is>
          <t>Research &amp; Insights</t>
        </is>
      </c>
      <c r="G7" s="10" t="inlineStr">
        <is>
          <t>Local News Audience Study</t>
        </is>
      </c>
    </row>
    <row r="8">
      <c r="A8" s="12" t="n">
        <v>46246</v>
      </c>
      <c r="B8" s="3" t="inlineStr">
        <is>
          <t>Prioritise transcription over analytics integrations</t>
        </is>
      </c>
      <c r="C8" s="3" t="inlineStr">
        <is>
          <t>Phase 3 integration budget goes to transcription tools.</t>
        </is>
      </c>
      <c r="D8" s="3" t="inlineStr">
        <is>
          <t>Transcription saves the most time in the user survey; analytics setup needs more support than budget allows.</t>
        </is>
      </c>
      <c r="E8" s="10" t="inlineStr">
        <is>
          <t>Programme board</t>
        </is>
      </c>
      <c r="F8" s="10" t="inlineStr">
        <is>
          <t>Product &amp; Technology Partnerships</t>
        </is>
      </c>
      <c r="G8" s="10" t="inlineStr">
        <is>
          <t>Newsroom Tools Partnership</t>
        </is>
      </c>
    </row>
    <row r="9">
      <c r="A9" s="12" t="n">
        <v>46267</v>
      </c>
      <c r="B9" s="3" t="inlineStr">
        <is>
          <t>Lead the consultation response jointly with GAPP</t>
        </is>
      </c>
      <c r="C9" s="3" t="inlineStr">
        <is>
          <t>GAPP leads the consultation response; the programme supplies data and case studies.</t>
        </is>
      </c>
      <c r="D9" s="3" t="inlineStr">
        <is>
          <t>GAPP owns relationships with officials; the programme owns the evidence.</t>
        </is>
      </c>
      <c r="E9" s="10" t="inlineStr">
        <is>
          <t>Nadia Hassan (Global lead) and GAPP</t>
        </is>
      </c>
      <c r="F9" s="10" t="inlineStr">
        <is>
          <t>Policy &amp; Public Affairs</t>
        </is>
      </c>
      <c r="G9" s="10" t="inlineStr">
        <is>
          <t>Policy Engagement on Local News</t>
        </is>
      </c>
    </row>
  </sheetData>
  <autoFilter ref="A1:G9"/>
  <dataValidations count="2">
    <dataValidation sqref="F2:F2000" showDropDown="0" showInputMessage="0" showErrorMessage="1" allowBlank="1" errorTitle="Choose from the list" error="Pick a value from the dropdown." type="list">
      <formula1>'Focus areas'!$A$2:$A$200</formula1>
    </dataValidation>
    <dataValidation sqref="G2:G2000" showDropDown="0" showInputMessage="0" showErrorMessage="1" allowBlank="1" errorTitle="Choose from the list" error="Pick a value from the dropdown." type="list">
      <formula1>Initiatives!$A$2:$A$500</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2" customWidth="1" min="3" max="3"/>
    <col width="18" customWidth="1" min="4" max="4"/>
    <col width="12" customWidth="1" min="5" max="5"/>
  </cols>
  <sheetData>
    <row r="1" ht="30" customHeight="1">
      <c r="A1" s="5" t="inlineStr">
        <is>
          <t>Initiative</t>
        </is>
      </c>
      <c r="B1" s="5" t="inlineStr">
        <is>
          <t>Label</t>
        </is>
      </c>
      <c r="C1" s="5" t="inlineStr">
        <is>
          <t>Data as of</t>
        </is>
      </c>
      <c r="D1" s="5" t="inlineStr">
        <is>
          <t>Frozen by</t>
        </is>
      </c>
      <c r="E1" s="5" t="inlineStr">
        <is>
          <t>Frozen on</t>
        </is>
      </c>
    </row>
    <row r="2">
      <c r="A2" s="10" t="inlineStr">
        <is>
          <t>Newsroom Digital Skills Training</t>
        </is>
      </c>
      <c r="B2" s="3" t="inlineStr">
        <is>
          <t>Q2 2026 as reported to the board</t>
        </is>
      </c>
      <c r="C2" s="12" t="n">
        <v>46203</v>
      </c>
      <c r="D2" s="10" t="inlineStr">
        <is>
          <t>Nadia Hassan</t>
        </is>
      </c>
      <c r="E2" s="12" t="n">
        <v>46206</v>
      </c>
    </row>
  </sheetData>
  <autoFilter ref="A1:E2"/>
  <dataValidations count="2">
    <dataValidation sqref="A2:A2000" showDropDown="0" showInputMessage="0" showErrorMessage="1" allowBlank="1" errorTitle="Choose from the list" error="Pick a value from the dropdown." type="list">
      <formula1>Initiatives!$A$2:$A$500</formula1>
    </dataValidation>
    <dataValidation sqref="D2:D2000" showDropDown="0" showInputMessage="0" showErrorMessage="1" allowBlank="1" errorTitle="Choose from the list" error="Pick a value from the dropdown." type="list">
      <formula1>People!$A$2:$A$300</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2" customWidth="1" min="4" max="4"/>
    <col width="12" customWidth="1" min="5" max="5"/>
    <col width="12" customWidth="1" min="6" max="6"/>
    <col width="14" customWidth="1" min="7" max="7"/>
    <col width="11" customWidth="1" min="8" max="8"/>
    <col width="9" customWidth="1" min="9" max="9"/>
    <col width="11" customWidth="1" min="10" max="10"/>
    <col width="14" customWidth="1" min="11" max="11"/>
  </cols>
  <sheetData>
    <row r="1" ht="30" customHeight="1">
      <c r="A1" s="5" t="inlineStr">
        <is>
          <t>Focus area</t>
        </is>
      </c>
      <c r="B1" s="5" t="inlineStr">
        <is>
          <t>Budget</t>
        </is>
      </c>
      <c r="C1" s="5" t="inlineStr">
        <is>
          <t>Allocated to initiatives</t>
        </is>
      </c>
      <c r="D1" s="5" t="inlineStr">
        <is>
          <t>Unallocated</t>
        </is>
      </c>
      <c r="E1" s="5" t="inlineStr">
        <is>
          <t>Paid to date</t>
        </is>
      </c>
      <c r="F1" s="5" t="inlineStr">
        <is>
          <t>Committed</t>
        </is>
      </c>
      <c r="G1" s="5" t="inlineStr">
        <is>
          <t>Paid share of budget</t>
        </is>
      </c>
      <c r="H1" s="5" t="inlineStr">
        <is>
          <t>Initiatives</t>
        </is>
      </c>
      <c r="I1" s="5" t="inlineStr">
        <is>
          <t>Metrics</t>
        </is>
      </c>
      <c r="J1" s="5" t="inlineStr">
        <is>
          <t>Open risks</t>
        </is>
      </c>
      <c r="K1" s="5" t="inlineStr">
        <is>
          <t>Open responsibilities</t>
        </is>
      </c>
    </row>
    <row r="2">
      <c r="A2" s="16">
        <f>IF('Focus areas'!A2="","",'Focus areas'!A2)</f>
        <v/>
      </c>
      <c r="B2" s="17">
        <f>IF(A2="","",'Focus areas'!D2)</f>
        <v/>
      </c>
      <c r="C2" s="17">
        <f>IF(A2="","",SUMIFS(Initiatives!$G$2:$G$500,Initiatives!$B$2:$B$500,A2))</f>
        <v/>
      </c>
      <c r="D2" s="18">
        <f>IF(A2="","",B2-C2)</f>
        <v/>
      </c>
      <c r="E2" s="17">
        <f>IF(A2="","",SUMIFS(Spend!$C$2:$C$500,Spend!$H$2:$H$500,A2,Spend!$E$2:$E$500,"actual"))</f>
        <v/>
      </c>
      <c r="F2" s="17">
        <f>IF(A2="","",SUMIFS(Spend!$C$2:$C$500,Spend!$H$2:$H$500,A2,Spend!$E$2:$E$500,"committed"))</f>
        <v/>
      </c>
      <c r="G2" s="19">
        <f>IF(OR(A2="",N(B2)=0),"",E2/B2)</f>
        <v/>
      </c>
      <c r="H2" s="16">
        <f>IF(A2="","",COUNTIF(Initiatives!$B$2:$B$500,A2))</f>
        <v/>
      </c>
      <c r="I2" s="16">
        <f>IF(A2="","",COUNTIF(Metrics!$Q$2:$Q$500,A2))</f>
        <v/>
      </c>
      <c r="J2" s="16">
        <f>IF(A2="","",COUNTIFS(Risks!$G$2:$G$500,A2,Risks!$E$2:$E$500,"&lt;&gt;closed"))</f>
        <v/>
      </c>
      <c r="K2" s="16">
        <f>IF(A2="","",COUNTIFS(Responsibilities!$F$2:$F$500,A2,Responsibilities!$J$2:$J$500,"&lt;&gt;done"))</f>
        <v/>
      </c>
    </row>
    <row r="3">
      <c r="A3" s="16">
        <f>IF('Focus areas'!A3="","",'Focus areas'!A3)</f>
        <v/>
      </c>
      <c r="B3" s="17">
        <f>IF(A3="","",'Focus areas'!D3)</f>
        <v/>
      </c>
      <c r="C3" s="17">
        <f>IF(A3="","",SUMIFS(Initiatives!$G$2:$G$500,Initiatives!$B$2:$B$500,A3))</f>
        <v/>
      </c>
      <c r="D3" s="18">
        <f>IF(A3="","",B3-C3)</f>
        <v/>
      </c>
      <c r="E3" s="17">
        <f>IF(A3="","",SUMIFS(Spend!$C$2:$C$500,Spend!$H$2:$H$500,A3,Spend!$E$2:$E$500,"actual"))</f>
        <v/>
      </c>
      <c r="F3" s="17">
        <f>IF(A3="","",SUMIFS(Spend!$C$2:$C$500,Spend!$H$2:$H$500,A3,Spend!$E$2:$E$500,"committed"))</f>
        <v/>
      </c>
      <c r="G3" s="19">
        <f>IF(OR(A3="",N(B3)=0),"",E3/B3)</f>
        <v/>
      </c>
      <c r="H3" s="16">
        <f>IF(A3="","",COUNTIF(Initiatives!$B$2:$B$500,A3))</f>
        <v/>
      </c>
      <c r="I3" s="16">
        <f>IF(A3="","",COUNTIF(Metrics!$Q$2:$Q$500,A3))</f>
        <v/>
      </c>
      <c r="J3" s="16">
        <f>IF(A3="","",COUNTIFS(Risks!$G$2:$G$500,A3,Risks!$E$2:$E$500,"&lt;&gt;closed"))</f>
        <v/>
      </c>
      <c r="K3" s="16">
        <f>IF(A3="","",COUNTIFS(Responsibilities!$F$2:$F$500,A3,Responsibilities!$J$2:$J$500,"&lt;&gt;done"))</f>
        <v/>
      </c>
    </row>
    <row r="4">
      <c r="A4" s="16">
        <f>IF('Focus areas'!A4="","",'Focus areas'!A4)</f>
        <v/>
      </c>
      <c r="B4" s="17">
        <f>IF(A4="","",'Focus areas'!D4)</f>
        <v/>
      </c>
      <c r="C4" s="17">
        <f>IF(A4="","",SUMIFS(Initiatives!$G$2:$G$500,Initiatives!$B$2:$B$500,A4))</f>
        <v/>
      </c>
      <c r="D4" s="18">
        <f>IF(A4="","",B4-C4)</f>
        <v/>
      </c>
      <c r="E4" s="17">
        <f>IF(A4="","",SUMIFS(Spend!$C$2:$C$500,Spend!$H$2:$H$500,A4,Spend!$E$2:$E$500,"actual"))</f>
        <v/>
      </c>
      <c r="F4" s="17">
        <f>IF(A4="","",SUMIFS(Spend!$C$2:$C$500,Spend!$H$2:$H$500,A4,Spend!$E$2:$E$500,"committed"))</f>
        <v/>
      </c>
      <c r="G4" s="19">
        <f>IF(OR(A4="",N(B4)=0),"",E4/B4)</f>
        <v/>
      </c>
      <c r="H4" s="16">
        <f>IF(A4="","",COUNTIF(Initiatives!$B$2:$B$500,A4))</f>
        <v/>
      </c>
      <c r="I4" s="16">
        <f>IF(A4="","",COUNTIF(Metrics!$Q$2:$Q$500,A4))</f>
        <v/>
      </c>
      <c r="J4" s="16">
        <f>IF(A4="","",COUNTIFS(Risks!$G$2:$G$500,A4,Risks!$E$2:$E$500,"&lt;&gt;closed"))</f>
        <v/>
      </c>
      <c r="K4" s="16">
        <f>IF(A4="","",COUNTIFS(Responsibilities!$F$2:$F$500,A4,Responsibilities!$J$2:$J$500,"&lt;&gt;done"))</f>
        <v/>
      </c>
    </row>
    <row r="5">
      <c r="A5" s="16">
        <f>IF('Focus areas'!A5="","",'Focus areas'!A5)</f>
        <v/>
      </c>
      <c r="B5" s="17">
        <f>IF(A5="","",'Focus areas'!D5)</f>
        <v/>
      </c>
      <c r="C5" s="17">
        <f>IF(A5="","",SUMIFS(Initiatives!$G$2:$G$500,Initiatives!$B$2:$B$500,A5))</f>
        <v/>
      </c>
      <c r="D5" s="18">
        <f>IF(A5="","",B5-C5)</f>
        <v/>
      </c>
      <c r="E5" s="17">
        <f>IF(A5="","",SUMIFS(Spend!$C$2:$C$500,Spend!$H$2:$H$500,A5,Spend!$E$2:$E$500,"actual"))</f>
        <v/>
      </c>
      <c r="F5" s="17">
        <f>IF(A5="","",SUMIFS(Spend!$C$2:$C$500,Spend!$H$2:$H$500,A5,Spend!$E$2:$E$500,"committed"))</f>
        <v/>
      </c>
      <c r="G5" s="19">
        <f>IF(OR(A5="",N(B5)=0),"",E5/B5)</f>
        <v/>
      </c>
      <c r="H5" s="16">
        <f>IF(A5="","",COUNTIF(Initiatives!$B$2:$B$500,A5))</f>
        <v/>
      </c>
      <c r="I5" s="16">
        <f>IF(A5="","",COUNTIF(Metrics!$Q$2:$Q$500,A5))</f>
        <v/>
      </c>
      <c r="J5" s="16">
        <f>IF(A5="","",COUNTIFS(Risks!$G$2:$G$500,A5,Risks!$E$2:$E$500,"&lt;&gt;closed"))</f>
        <v/>
      </c>
      <c r="K5" s="16">
        <f>IF(A5="","",COUNTIFS(Responsibilities!$F$2:$F$500,A5,Responsibilities!$J$2:$J$500,"&lt;&gt;done"))</f>
        <v/>
      </c>
    </row>
    <row r="6">
      <c r="A6" s="16">
        <f>IF('Focus areas'!A6="","",'Focus areas'!A6)</f>
        <v/>
      </c>
      <c r="B6" s="17">
        <f>IF(A6="","",'Focus areas'!D6)</f>
        <v/>
      </c>
      <c r="C6" s="17">
        <f>IF(A6="","",SUMIFS(Initiatives!$G$2:$G$500,Initiatives!$B$2:$B$500,A6))</f>
        <v/>
      </c>
      <c r="D6" s="18">
        <f>IF(A6="","",B6-C6)</f>
        <v/>
      </c>
      <c r="E6" s="17">
        <f>IF(A6="","",SUMIFS(Spend!$C$2:$C$500,Spend!$H$2:$H$500,A6,Spend!$E$2:$E$500,"actual"))</f>
        <v/>
      </c>
      <c r="F6" s="17">
        <f>IF(A6="","",SUMIFS(Spend!$C$2:$C$500,Spend!$H$2:$H$500,A6,Spend!$E$2:$E$500,"committed"))</f>
        <v/>
      </c>
      <c r="G6" s="19">
        <f>IF(OR(A6="",N(B6)=0),"",E6/B6)</f>
        <v/>
      </c>
      <c r="H6" s="16">
        <f>IF(A6="","",COUNTIF(Initiatives!$B$2:$B$500,A6))</f>
        <v/>
      </c>
      <c r="I6" s="16">
        <f>IF(A6="","",COUNTIF(Metrics!$Q$2:$Q$500,A6))</f>
        <v/>
      </c>
      <c r="J6" s="16">
        <f>IF(A6="","",COUNTIFS(Risks!$G$2:$G$500,A6,Risks!$E$2:$E$500,"&lt;&gt;closed"))</f>
        <v/>
      </c>
      <c r="K6" s="16">
        <f>IF(A6="","",COUNTIFS(Responsibilities!$F$2:$F$500,A6,Responsibilities!$J$2:$J$500,"&lt;&gt;done"))</f>
        <v/>
      </c>
    </row>
    <row r="7">
      <c r="A7" s="16">
        <f>IF('Focus areas'!A7="","",'Focus areas'!A7)</f>
        <v/>
      </c>
      <c r="B7" s="17">
        <f>IF(A7="","",'Focus areas'!D7)</f>
        <v/>
      </c>
      <c r="C7" s="17">
        <f>IF(A7="","",SUMIFS(Initiatives!$G$2:$G$500,Initiatives!$B$2:$B$500,A7))</f>
        <v/>
      </c>
      <c r="D7" s="18">
        <f>IF(A7="","",B7-C7)</f>
        <v/>
      </c>
      <c r="E7" s="17">
        <f>IF(A7="","",SUMIFS(Spend!$C$2:$C$500,Spend!$H$2:$H$500,A7,Spend!$E$2:$E$500,"actual"))</f>
        <v/>
      </c>
      <c r="F7" s="17">
        <f>IF(A7="","",SUMIFS(Spend!$C$2:$C$500,Spend!$H$2:$H$500,A7,Spend!$E$2:$E$500,"committed"))</f>
        <v/>
      </c>
      <c r="G7" s="19">
        <f>IF(OR(A7="",N(B7)=0),"",E7/B7)</f>
        <v/>
      </c>
      <c r="H7" s="16">
        <f>IF(A7="","",COUNTIF(Initiatives!$B$2:$B$500,A7))</f>
        <v/>
      </c>
      <c r="I7" s="16">
        <f>IF(A7="","",COUNTIF(Metrics!$Q$2:$Q$500,A7))</f>
        <v/>
      </c>
      <c r="J7" s="16">
        <f>IF(A7="","",COUNTIFS(Risks!$G$2:$G$500,A7,Risks!$E$2:$E$500,"&lt;&gt;closed"))</f>
        <v/>
      </c>
      <c r="K7" s="16">
        <f>IF(A7="","",COUNTIFS(Responsibilities!$F$2:$F$500,A7,Responsibilities!$J$2:$J$500,"&lt;&gt;done"))</f>
        <v/>
      </c>
    </row>
    <row r="8">
      <c r="A8" s="16">
        <f>IF('Focus areas'!A8="","",'Focus areas'!A8)</f>
        <v/>
      </c>
      <c r="B8" s="17">
        <f>IF(A8="","",'Focus areas'!D8)</f>
        <v/>
      </c>
      <c r="C8" s="17">
        <f>IF(A8="","",SUMIFS(Initiatives!$G$2:$G$500,Initiatives!$B$2:$B$500,A8))</f>
        <v/>
      </c>
      <c r="D8" s="18">
        <f>IF(A8="","",B8-C8)</f>
        <v/>
      </c>
      <c r="E8" s="17">
        <f>IF(A8="","",SUMIFS(Spend!$C$2:$C$500,Spend!$H$2:$H$500,A8,Spend!$E$2:$E$500,"actual"))</f>
        <v/>
      </c>
      <c r="F8" s="17">
        <f>IF(A8="","",SUMIFS(Spend!$C$2:$C$500,Spend!$H$2:$H$500,A8,Spend!$E$2:$E$500,"committed"))</f>
        <v/>
      </c>
      <c r="G8" s="19">
        <f>IF(OR(A8="",N(B8)=0),"",E8/B8)</f>
        <v/>
      </c>
      <c r="H8" s="16">
        <f>IF(A8="","",COUNTIF(Initiatives!$B$2:$B$500,A8))</f>
        <v/>
      </c>
      <c r="I8" s="16">
        <f>IF(A8="","",COUNTIF(Metrics!$Q$2:$Q$500,A8))</f>
        <v/>
      </c>
      <c r="J8" s="16">
        <f>IF(A8="","",COUNTIFS(Risks!$G$2:$G$500,A8,Risks!$E$2:$E$500,"&lt;&gt;closed"))</f>
        <v/>
      </c>
      <c r="K8" s="16">
        <f>IF(A8="","",COUNTIFS(Responsibilities!$F$2:$F$500,A8,Responsibilities!$J$2:$J$500,"&lt;&gt;done"))</f>
        <v/>
      </c>
    </row>
    <row r="9">
      <c r="A9" s="16">
        <f>IF('Focus areas'!A9="","",'Focus areas'!A9)</f>
        <v/>
      </c>
      <c r="B9" s="17">
        <f>IF(A9="","",'Focus areas'!D9)</f>
        <v/>
      </c>
      <c r="C9" s="17">
        <f>IF(A9="","",SUMIFS(Initiatives!$G$2:$G$500,Initiatives!$B$2:$B$500,A9))</f>
        <v/>
      </c>
      <c r="D9" s="18">
        <f>IF(A9="","",B9-C9)</f>
        <v/>
      </c>
      <c r="E9" s="17">
        <f>IF(A9="","",SUMIFS(Spend!$C$2:$C$500,Spend!$H$2:$H$500,A9,Spend!$E$2:$E$500,"actual"))</f>
        <v/>
      </c>
      <c r="F9" s="17">
        <f>IF(A9="","",SUMIFS(Spend!$C$2:$C$500,Spend!$H$2:$H$500,A9,Spend!$E$2:$E$500,"committed"))</f>
        <v/>
      </c>
      <c r="G9" s="19">
        <f>IF(OR(A9="",N(B9)=0),"",E9/B9)</f>
        <v/>
      </c>
      <c r="H9" s="16">
        <f>IF(A9="","",COUNTIF(Initiatives!$B$2:$B$500,A9))</f>
        <v/>
      </c>
      <c r="I9" s="16">
        <f>IF(A9="","",COUNTIF(Metrics!$Q$2:$Q$500,A9))</f>
        <v/>
      </c>
      <c r="J9" s="16">
        <f>IF(A9="","",COUNTIFS(Risks!$G$2:$G$500,A9,Risks!$E$2:$E$500,"&lt;&gt;closed"))</f>
        <v/>
      </c>
      <c r="K9" s="16">
        <f>IF(A9="","",COUNTIFS(Responsibilities!$F$2:$F$500,A9,Responsibilities!$J$2:$J$500,"&lt;&gt;done"))</f>
        <v/>
      </c>
    </row>
    <row r="10">
      <c r="A10" s="16">
        <f>IF('Focus areas'!A10="","",'Focus areas'!A10)</f>
        <v/>
      </c>
      <c r="B10" s="17">
        <f>IF(A10="","",'Focus areas'!D10)</f>
        <v/>
      </c>
      <c r="C10" s="17">
        <f>IF(A10="","",SUMIFS(Initiatives!$G$2:$G$500,Initiatives!$B$2:$B$500,A10))</f>
        <v/>
      </c>
      <c r="D10" s="18">
        <f>IF(A10="","",B10-C10)</f>
        <v/>
      </c>
      <c r="E10" s="17">
        <f>IF(A10="","",SUMIFS(Spend!$C$2:$C$500,Spend!$H$2:$H$500,A10,Spend!$E$2:$E$500,"actual"))</f>
        <v/>
      </c>
      <c r="F10" s="17">
        <f>IF(A10="","",SUMIFS(Spend!$C$2:$C$500,Spend!$H$2:$H$500,A10,Spend!$E$2:$E$500,"committed"))</f>
        <v/>
      </c>
      <c r="G10" s="19">
        <f>IF(OR(A10="",N(B10)=0),"",E10/B10)</f>
        <v/>
      </c>
      <c r="H10" s="16">
        <f>IF(A10="","",COUNTIF(Initiatives!$B$2:$B$500,A10))</f>
        <v/>
      </c>
      <c r="I10" s="16">
        <f>IF(A10="","",COUNTIF(Metrics!$Q$2:$Q$500,A10))</f>
        <v/>
      </c>
      <c r="J10" s="16">
        <f>IF(A10="","",COUNTIFS(Risks!$G$2:$G$500,A10,Risks!$E$2:$E$500,"&lt;&gt;closed"))</f>
        <v/>
      </c>
      <c r="K10" s="16">
        <f>IF(A10="","",COUNTIFS(Responsibilities!$F$2:$F$500,A10,Responsibilities!$J$2:$J$500,"&lt;&gt;done"))</f>
        <v/>
      </c>
    </row>
    <row r="11">
      <c r="A11" s="16">
        <f>IF('Focus areas'!A11="","",'Focus areas'!A11)</f>
        <v/>
      </c>
      <c r="B11" s="17">
        <f>IF(A11="","",'Focus areas'!D11)</f>
        <v/>
      </c>
      <c r="C11" s="17">
        <f>IF(A11="","",SUMIFS(Initiatives!$G$2:$G$500,Initiatives!$B$2:$B$500,A11))</f>
        <v/>
      </c>
      <c r="D11" s="18">
        <f>IF(A11="","",B11-C11)</f>
        <v/>
      </c>
      <c r="E11" s="17">
        <f>IF(A11="","",SUMIFS(Spend!$C$2:$C$500,Spend!$H$2:$H$500,A11,Spend!$E$2:$E$500,"actual"))</f>
        <v/>
      </c>
      <c r="F11" s="17">
        <f>IF(A11="","",SUMIFS(Spend!$C$2:$C$500,Spend!$H$2:$H$500,A11,Spend!$E$2:$E$500,"committed"))</f>
        <v/>
      </c>
      <c r="G11" s="19">
        <f>IF(OR(A11="",N(B11)=0),"",E11/B11)</f>
        <v/>
      </c>
      <c r="H11" s="16">
        <f>IF(A11="","",COUNTIF(Initiatives!$B$2:$B$500,A11))</f>
        <v/>
      </c>
      <c r="I11" s="16">
        <f>IF(A11="","",COUNTIF(Metrics!$Q$2:$Q$500,A11))</f>
        <v/>
      </c>
      <c r="J11" s="16">
        <f>IF(A11="","",COUNTIFS(Risks!$G$2:$G$500,A11,Risks!$E$2:$E$500,"&lt;&gt;closed"))</f>
        <v/>
      </c>
      <c r="K11" s="16">
        <f>IF(A11="","",COUNTIFS(Responsibilities!$F$2:$F$500,A11,Responsibilities!$J$2:$J$500,"&lt;&gt;done"))</f>
        <v/>
      </c>
    </row>
    <row r="12">
      <c r="A12" s="6" t="inlineStr">
        <is>
          <t>Programme</t>
        </is>
      </c>
      <c r="B12" s="20">
        <f>SUM(B2:B11)</f>
        <v/>
      </c>
      <c r="C12" s="20">
        <f>SUM(C2:C11)</f>
        <v/>
      </c>
      <c r="D12" s="20">
        <f>SUM(D2:D11)</f>
        <v/>
      </c>
      <c r="E12" s="20">
        <f>SUM(E2:E11)</f>
        <v/>
      </c>
      <c r="F12" s="20">
        <f>SUM(F2:F11)</f>
        <v/>
      </c>
      <c r="G12" s="21">
        <f>IF(N(B12)=0,"",E12/B12)</f>
        <v/>
      </c>
      <c r="H12" s="22">
        <f>SUM(H2:H11)</f>
        <v/>
      </c>
      <c r="I12" s="22">
        <f>SUM(I2:I11)</f>
        <v/>
      </c>
      <c r="J12" s="22">
        <f>SUM(J2:J11)</f>
        <v/>
      </c>
      <c r="K12" s="22">
        <f>SUM(K2:K11)</f>
        <v/>
      </c>
    </row>
    <row r="14">
      <c r="A14" s="6" t="inlineStr">
        <is>
          <t>Check</t>
        </is>
      </c>
      <c r="B14" s="23">
        <f>IF(ROUND(B12-Programme!B6,0)=0,"Focus area budgets add up to the programme budget","Focus area budgets differ from the programme budget by "&amp;TEXT(B12-Programme!B6,"#,##0"))</f>
        <v/>
      </c>
    </row>
    <row r="15">
      <c r="A15" s="6" t="inlineStr">
        <is>
          <t>Note</t>
        </is>
      </c>
      <c r="B15" s="7" t="inlineStr">
        <is>
          <t>Calculated from the other sheets. Don't type here; the app works these out itself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2026-09-23T23:56:20Z</dcterms:created>
  <dcterms:modified xsi:type="dcterms:W3CDTF">2026-09-23T23:56:20Z</dcterms:modified>
</cp:coreProperties>
</file>